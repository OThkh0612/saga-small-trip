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d9ec8ee41f2d3a/デスクトップ/saga-small-trip/"/>
    </mc:Choice>
  </mc:AlternateContent>
  <xr:revisionPtr revIDLastSave="28" documentId="8_{99242C6B-F4AC-4392-AB20-838993D92F2E}" xr6:coauthVersionLast="47" xr6:coauthVersionMax="47" xr10:uidLastSave="{23B81473-D642-4302-9CC0-BEE80157D0FF}"/>
  <bookViews>
    <workbookView xWindow="263" yWindow="293" windowWidth="11047" windowHeight="13034" xr2:uid="{EE90897B-71E4-4343-8F25-66AB760EE550}"/>
  </bookViews>
  <sheets>
    <sheet name="制作進捗" sheetId="1" r:id="rId1"/>
    <sheet name="素材管理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2" l="1"/>
  <c r="D5" i="1"/>
  <c r="B5" i="1"/>
  <c r="F5" i="1" l="1"/>
</calcChain>
</file>

<file path=xl/sharedStrings.xml><?xml version="1.0" encoding="utf-8"?>
<sst xmlns="http://schemas.openxmlformats.org/spreadsheetml/2006/main" count="99" uniqueCount="60">
  <si>
    <t>佐賀県観光ポートフォリオ制作進捗管理表</t>
    <rPh sb="0" eb="3">
      <t>サガケン</t>
    </rPh>
    <rPh sb="3" eb="5">
      <t>カンコウ</t>
    </rPh>
    <rPh sb="12" eb="14">
      <t>セイサク</t>
    </rPh>
    <rPh sb="14" eb="16">
      <t>シンチョク</t>
    </rPh>
    <rPh sb="16" eb="19">
      <t>カンリヒョウ</t>
    </rPh>
    <phoneticPr fontId="2"/>
  </si>
  <si>
    <t>更新日</t>
    <rPh sb="0" eb="3">
      <t>コウシンビ</t>
    </rPh>
    <phoneticPr fontId="2"/>
  </si>
  <si>
    <t>進捗サマリー</t>
    <rPh sb="0" eb="2">
      <t>シンチョク</t>
    </rPh>
    <phoneticPr fontId="2"/>
  </si>
  <si>
    <t>全タスク数</t>
    <rPh sb="0" eb="1">
      <t>ゼン</t>
    </rPh>
    <rPh sb="4" eb="5">
      <t>スウ</t>
    </rPh>
    <phoneticPr fontId="2"/>
  </si>
  <si>
    <t>完了数</t>
    <rPh sb="0" eb="3">
      <t>カンリョウスウ</t>
    </rPh>
    <phoneticPr fontId="2"/>
  </si>
  <si>
    <t>進捗率</t>
    <rPh sb="0" eb="3">
      <t>シンチョクリツ</t>
    </rPh>
    <phoneticPr fontId="2"/>
  </si>
  <si>
    <t>タスク一覧</t>
    <rPh sb="3" eb="5">
      <t>イチラン</t>
    </rPh>
    <phoneticPr fontId="2"/>
  </si>
  <si>
    <t>No.</t>
    <phoneticPr fontId="2"/>
  </si>
  <si>
    <t>公開段階　</t>
    <rPh sb="0" eb="4">
      <t>コウカイダンカイ</t>
    </rPh>
    <phoneticPr fontId="2"/>
  </si>
  <si>
    <t>分類</t>
    <rPh sb="0" eb="2">
      <t>ブンルイ</t>
    </rPh>
    <phoneticPr fontId="2"/>
  </si>
  <si>
    <t>対象ページ</t>
    <rPh sb="0" eb="2">
      <t>タイショウ</t>
    </rPh>
    <phoneticPr fontId="2"/>
  </si>
  <si>
    <t>作業内容</t>
    <rPh sb="0" eb="4">
      <t>サギョウナイヨウ</t>
    </rPh>
    <phoneticPr fontId="2"/>
  </si>
  <si>
    <t>状況</t>
    <rPh sb="0" eb="2">
      <t>ジョウキョウ</t>
    </rPh>
    <phoneticPr fontId="2"/>
  </si>
  <si>
    <t>優先度</t>
    <rPh sb="0" eb="3">
      <t>ユウセンド</t>
    </rPh>
    <phoneticPr fontId="2"/>
  </si>
  <si>
    <t>期限</t>
    <rPh sb="0" eb="2">
      <t>キゲン</t>
    </rPh>
    <phoneticPr fontId="2"/>
  </si>
  <si>
    <t>完了日</t>
    <rPh sb="0" eb="3">
      <t>カンリョウビ</t>
    </rPh>
    <phoneticPr fontId="2"/>
  </si>
  <si>
    <t>備考</t>
    <rPh sb="0" eb="2">
      <t>ビコウ</t>
    </rPh>
    <phoneticPr fontId="2"/>
  </si>
  <si>
    <t>第1段階</t>
  </si>
  <si>
    <t>第2段階</t>
    <rPh sb="0" eb="1">
      <t>ダイ</t>
    </rPh>
    <rPh sb="2" eb="4">
      <t>ダンカイ</t>
    </rPh>
    <phoneticPr fontId="2"/>
  </si>
  <si>
    <t>第1段階</t>
    <phoneticPr fontId="2"/>
  </si>
  <si>
    <t>資料作成</t>
    <rPh sb="0" eb="4">
      <t>シリョウサクセイ</t>
    </rPh>
    <phoneticPr fontId="2"/>
  </si>
  <si>
    <t>資料確認</t>
    <rPh sb="0" eb="2">
      <t>シリョウ</t>
    </rPh>
    <rPh sb="2" eb="4">
      <t>カクニン</t>
    </rPh>
    <phoneticPr fontId="2"/>
  </si>
  <si>
    <t>公開準備</t>
    <rPh sb="0" eb="4">
      <t>コウカイジュンビ</t>
    </rPh>
    <phoneticPr fontId="2"/>
  </si>
  <si>
    <t>サイト確認</t>
    <rPh sb="3" eb="5">
      <t>カクニン</t>
    </rPh>
    <phoneticPr fontId="2"/>
  </si>
  <si>
    <t>学習</t>
    <rPh sb="0" eb="2">
      <t>ガクシュウ</t>
    </rPh>
    <phoneticPr fontId="2"/>
  </si>
  <si>
    <t>公開</t>
    <rPh sb="0" eb="2">
      <t>コウカイ</t>
    </rPh>
    <phoneticPr fontId="2"/>
  </si>
  <si>
    <t>全体</t>
    <rPh sb="0" eb="2">
      <t>ゼンタイ</t>
    </rPh>
    <phoneticPr fontId="2"/>
  </si>
  <si>
    <t>Webサイト制作企画書を作成する</t>
    <rPh sb="6" eb="8">
      <t>セイサク</t>
    </rPh>
    <rPh sb="8" eb="11">
      <t>キカクショ</t>
    </rPh>
    <rPh sb="12" eb="14">
      <t>サクセイ</t>
    </rPh>
    <phoneticPr fontId="2"/>
  </si>
  <si>
    <t>制作管理表を作成する</t>
    <rPh sb="0" eb="5">
      <t>セイサクカンリヒョウ</t>
    </rPh>
    <rPh sb="6" eb="8">
      <t>サクセイ</t>
    </rPh>
    <phoneticPr fontId="2"/>
  </si>
  <si>
    <t>Webサイト制作企画書をPDF化して内容を確認する</t>
    <rPh sb="6" eb="8">
      <t>セイサク</t>
    </rPh>
    <rPh sb="8" eb="11">
      <t>キカクショ</t>
    </rPh>
    <rPh sb="15" eb="16">
      <t>カ</t>
    </rPh>
    <rPh sb="18" eb="20">
      <t>ナイヨウ</t>
    </rPh>
    <rPh sb="21" eb="23">
      <t>カクニン</t>
    </rPh>
    <phoneticPr fontId="2"/>
  </si>
  <si>
    <t>GitHubのREADMEを整える</t>
    <rPh sb="14" eb="15">
      <t>トトノ</t>
    </rPh>
    <phoneticPr fontId="2"/>
  </si>
  <si>
    <t>HTML、CSS、画像を含めてサイト全体を確認する</t>
    <rPh sb="9" eb="11">
      <t>ガゾウ</t>
    </rPh>
    <rPh sb="12" eb="13">
      <t>フク</t>
    </rPh>
    <rPh sb="18" eb="20">
      <t>ゼンタイ</t>
    </rPh>
    <rPh sb="21" eb="23">
      <t>カクニン</t>
    </rPh>
    <phoneticPr fontId="2"/>
  </si>
  <si>
    <t>Git・GitHubの基本を学ぶ</t>
    <rPh sb="11" eb="13">
      <t>キホン</t>
    </rPh>
    <rPh sb="14" eb="15">
      <t>マナ</t>
    </rPh>
    <phoneticPr fontId="2"/>
  </si>
  <si>
    <t>完了</t>
  </si>
  <si>
    <t>未着手</t>
    <rPh sb="0" eb="3">
      <t>ミチャクシュ</t>
    </rPh>
    <phoneticPr fontId="2"/>
  </si>
  <si>
    <t>高</t>
    <rPh sb="0" eb="1">
      <t>タカ</t>
    </rPh>
    <phoneticPr fontId="2"/>
  </si>
  <si>
    <t>画像調整</t>
    <rPh sb="0" eb="4">
      <t>ガゾウチョウセイ</t>
    </rPh>
    <phoneticPr fontId="2"/>
  </si>
  <si>
    <t>機能追加</t>
    <rPh sb="0" eb="4">
      <t>キノウツイカ</t>
    </rPh>
    <phoneticPr fontId="2"/>
  </si>
  <si>
    <t>CMS制作</t>
    <rPh sb="3" eb="5">
      <t>セイサク</t>
    </rPh>
    <phoneticPr fontId="2"/>
  </si>
  <si>
    <t>最終確認・公開</t>
    <rPh sb="0" eb="4">
      <t>サイシュウカクニン</t>
    </rPh>
    <rPh sb="5" eb="7">
      <t>コウカイ</t>
    </rPh>
    <phoneticPr fontId="2"/>
  </si>
  <si>
    <t>全ページ</t>
    <rPh sb="0" eb="1">
      <t>ゼン</t>
    </rPh>
    <phoneticPr fontId="2"/>
  </si>
  <si>
    <t>Photoshopで画像やアイコンなどを仕上げる</t>
    <phoneticPr fontId="2"/>
  </si>
  <si>
    <t>JavaScriptの機能を追加する</t>
  </si>
  <si>
    <t>WordPress化し、CMS版を制作する</t>
  </si>
  <si>
    <t>静的サイト版とCMS版を最終確認し、最新版を公開する</t>
  </si>
  <si>
    <t>中</t>
    <rPh sb="0" eb="1">
      <t>チュウ</t>
    </rPh>
    <phoneticPr fontId="2"/>
  </si>
  <si>
    <t>佐賀観光ポートフォリオ素材管理表</t>
    <rPh sb="0" eb="2">
      <t>サガ</t>
    </rPh>
    <rPh sb="2" eb="4">
      <t>カンコウ</t>
    </rPh>
    <rPh sb="11" eb="13">
      <t>ソザイ</t>
    </rPh>
    <rPh sb="13" eb="16">
      <t>カンリヒョウ</t>
    </rPh>
    <phoneticPr fontId="2"/>
  </si>
  <si>
    <t>素材一覧</t>
    <rPh sb="0" eb="4">
      <t>ソザイイチラン</t>
    </rPh>
    <phoneticPr fontId="2"/>
  </si>
  <si>
    <t>使用場所</t>
    <rPh sb="0" eb="4">
      <t>シヨウバショ</t>
    </rPh>
    <phoneticPr fontId="2"/>
  </si>
  <si>
    <t>素材種別</t>
    <rPh sb="0" eb="4">
      <t>ソザイシュベツ</t>
    </rPh>
    <phoneticPr fontId="2"/>
  </si>
  <si>
    <t>ファイル名</t>
    <rPh sb="4" eb="5">
      <t>メイ</t>
    </rPh>
    <phoneticPr fontId="2"/>
  </si>
  <si>
    <t>素材内容</t>
    <rPh sb="0" eb="4">
      <t>ソザイナイヨウ</t>
    </rPh>
    <phoneticPr fontId="2"/>
  </si>
  <si>
    <t>準備状況</t>
    <rPh sb="0" eb="4">
      <t>ジュンビジョウキョウ</t>
    </rPh>
    <phoneticPr fontId="2"/>
  </si>
  <si>
    <t>加工状況</t>
    <rPh sb="0" eb="4">
      <t>カコウジョウキョウ</t>
    </rPh>
    <phoneticPr fontId="2"/>
  </si>
  <si>
    <t>掲載状況</t>
    <rPh sb="0" eb="4">
      <t>ケイサイジョウキョウ</t>
    </rPh>
    <phoneticPr fontId="2"/>
  </si>
  <si>
    <t>出典・入手先</t>
    <rPh sb="0" eb="2">
      <t>シュッテン</t>
    </rPh>
    <rPh sb="3" eb="6">
      <t>ニュウシュサキ</t>
    </rPh>
    <phoneticPr fontId="2"/>
  </si>
  <si>
    <t>GitHub Pagesで静的サイトを公開する</t>
    <rPh sb="13" eb="15">
      <t>セイテキ</t>
    </rPh>
    <rPh sb="19" eb="21">
      <t>コウカイ</t>
    </rPh>
    <phoneticPr fontId="2"/>
  </si>
  <si>
    <t>進行中</t>
  </si>
  <si>
    <t>画像以外の表示確認は完了。残りの画像を準備中。</t>
    <phoneticPr fontId="2"/>
  </si>
  <si>
    <t>公開テスト完了。制作継続のため現在は一時非公開。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</si>
</sst>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14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1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2">
    <cellStyle name="パーセント" xfId="1" builtinId="5"/>
    <cellStyle name="標準" xfId="0" builtinId="0"/>
  </cellStyles>
  <dxfs count="3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46EF6-A68A-45AA-AB1C-9DEFD8F177FB}" name="テーブル1" displayName="テーブル1" ref="A8:J19" totalsRowShown="0" headerRowDxfId="32" dataDxfId="31">
  <autoFilter ref="A8:J19" xr:uid="{45746EF6-A68A-45AA-AB1C-9DEFD8F177FB}"/>
  <tableColumns count="10">
    <tableColumn id="1" xr3:uid="{0FC2ED50-DED0-452D-8651-DFEEA5362CCC}" name="No." dataDxfId="30"/>
    <tableColumn id="2" xr3:uid="{B004CBA6-95FD-4E4A-A3E6-402761BF9C72}" name="公開段階　" dataDxfId="29"/>
    <tableColumn id="3" xr3:uid="{FCE9EC5D-92C5-4A3D-9681-1FB0E660864E}" name="分類" dataDxfId="28"/>
    <tableColumn id="4" xr3:uid="{E7F1C059-5D29-4EBF-9210-A2C29E8D3479}" name="対象ページ" dataDxfId="27"/>
    <tableColumn id="5" xr3:uid="{1B503DAA-F560-4720-9589-DF77055BC3C2}" name="作業内容" dataDxfId="26"/>
    <tableColumn id="6" xr3:uid="{79045720-24B4-4F4A-A27C-E7EA47907295}" name="状況" dataDxfId="25"/>
    <tableColumn id="7" xr3:uid="{C5197FD5-F06F-4FC6-8A53-3CF7D71D9B4B}" name="優先度" dataDxfId="24"/>
    <tableColumn id="8" xr3:uid="{BF7CAD6E-7D39-4261-B83D-B6D0E5FED90F}" name="期限" dataDxfId="23"/>
    <tableColumn id="9" xr3:uid="{82358B19-5A5A-4B33-9E26-92CF4591F4F3}" name="完了日" dataDxfId="22"/>
    <tableColumn id="10" xr3:uid="{5350E184-4ED2-466B-9154-DD78A175EF90}" name="備考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6C232F-F352-4C04-8BE9-61C2F77D47FF}" name="テーブル2" displayName="テーブル2" ref="A5:K6" totalsRowShown="0" headerRowDxfId="20" dataDxfId="19">
  <autoFilter ref="A5:K6" xr:uid="{546C232F-F352-4C04-8BE9-61C2F77D47FF}"/>
  <tableColumns count="11">
    <tableColumn id="1" xr3:uid="{3AFE5A2E-5BD4-41A6-B804-8B249DFE51BF}" name="No." dataDxfId="18">
      <calculatedColumnFormula>IF(B6="","",ROW()-5)</calculatedColumnFormula>
    </tableColumn>
    <tableColumn id="2" xr3:uid="{BB467987-83AD-4E6C-94CE-359A061C2269}" name="対象ページ" dataDxfId="17"/>
    <tableColumn id="3" xr3:uid="{91BA6E35-CF34-44CE-A1CD-924D988B374F}" name="使用場所" dataDxfId="16"/>
    <tableColumn id="4" xr3:uid="{1284F502-B299-4748-9A33-EEF78A96B113}" name="素材種別" dataDxfId="15"/>
    <tableColumn id="5" xr3:uid="{AE73E1C8-AD9C-41F2-B73D-E524973D4844}" name="ファイル名" dataDxfId="14"/>
    <tableColumn id="6" xr3:uid="{5F6BCA63-3B29-42F8-A5BF-B347F5CF904A}" name="素材内容" dataDxfId="13"/>
    <tableColumn id="7" xr3:uid="{99925BCF-9D8B-4300-BF92-966364F1E7F8}" name="準備状況" dataDxfId="12"/>
    <tableColumn id="8" xr3:uid="{B38E0B3B-668D-4DFF-BCEA-20D28022E34A}" name="加工状況" dataDxfId="11"/>
    <tableColumn id="9" xr3:uid="{DB88FA17-092A-49F9-A686-A3FE1483036F}" name="掲載状況" dataDxfId="10"/>
    <tableColumn id="10" xr3:uid="{613559A8-2FBF-4036-A4FF-18B4B1B3E2E8}" name="出典・入手先" dataDxfId="9"/>
    <tableColumn id="11" xr3:uid="{1C562C7E-EF5E-4300-B623-7ECCBAD59A8B}" name="備考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F556-56E9-49EB-9323-CCD84DCD67E1}">
  <dimension ref="A1:J19"/>
  <sheetViews>
    <sheetView tabSelected="1" topLeftCell="F1" workbookViewId="0">
      <pane ySplit="8" topLeftCell="A9" activePane="bottomLeft" state="frozen"/>
      <selection pane="bottomLeft" activeCell="K17" sqref="K17"/>
    </sheetView>
  </sheetViews>
  <sheetFormatPr defaultRowHeight="17.649999999999999" x14ac:dyDescent="0.7"/>
  <cols>
    <col min="1" max="1" width="6.5625" customWidth="1"/>
    <col min="2" max="2" width="12.5625" customWidth="1"/>
    <col min="3" max="3" width="14.5625" customWidth="1"/>
    <col min="4" max="4" width="13.5625" customWidth="1"/>
    <col min="5" max="5" width="42.5625" customWidth="1"/>
    <col min="6" max="6" width="11.5625" customWidth="1"/>
    <col min="7" max="7" width="9.5625" customWidth="1"/>
    <col min="8" max="9" width="12.5625" customWidth="1"/>
    <col min="10" max="10" width="25.5625" customWidth="1"/>
  </cols>
  <sheetData>
    <row r="1" spans="1:10" ht="25.9" x14ac:dyDescent="0.7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7">
      <c r="A2" s="1" t="s">
        <v>1</v>
      </c>
      <c r="B2" s="2">
        <v>46283</v>
      </c>
      <c r="C2" s="1"/>
      <c r="D2" s="1"/>
      <c r="E2" s="1"/>
      <c r="F2" s="1"/>
      <c r="G2" s="1"/>
      <c r="H2" s="1"/>
      <c r="I2" s="1"/>
      <c r="J2" s="1"/>
    </row>
    <row r="3" spans="1:10" x14ac:dyDescent="0.7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9.899999999999999" x14ac:dyDescent="0.7">
      <c r="A4" s="5" t="s">
        <v>2</v>
      </c>
      <c r="B4" s="1"/>
      <c r="C4" s="1"/>
      <c r="D4" s="1"/>
      <c r="E4" s="1"/>
      <c r="F4" s="1"/>
      <c r="G4" s="1"/>
      <c r="H4" s="1"/>
      <c r="I4" s="1"/>
      <c r="J4" s="1"/>
    </row>
    <row r="5" spans="1:10" ht="19.899999999999999" x14ac:dyDescent="0.7">
      <c r="A5" s="6" t="s">
        <v>3</v>
      </c>
      <c r="B5" s="7">
        <f>COUNTA(E9:E19)</f>
        <v>11</v>
      </c>
      <c r="C5" s="6" t="s">
        <v>4</v>
      </c>
      <c r="D5" s="7">
        <f>COUNTIF(F9:F19,"完了")</f>
        <v>6</v>
      </c>
      <c r="E5" s="6" t="s">
        <v>5</v>
      </c>
      <c r="F5" s="8">
        <f>IFERROR(D5/B5,0)</f>
        <v>0.54545454545454541</v>
      </c>
      <c r="G5" s="1"/>
      <c r="H5" s="1"/>
      <c r="I5" s="1"/>
      <c r="J5" s="1"/>
    </row>
    <row r="6" spans="1:10" x14ac:dyDescent="0.7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7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7">
      <c r="A8" s="1" t="s">
        <v>7</v>
      </c>
      <c r="B8" s="11" t="s">
        <v>8</v>
      </c>
      <c r="C8" s="11" t="s">
        <v>9</v>
      </c>
      <c r="D8" s="11" t="s">
        <v>10</v>
      </c>
      <c r="E8" s="12" t="s">
        <v>11</v>
      </c>
      <c r="F8" s="11" t="s">
        <v>12</v>
      </c>
      <c r="G8" s="11" t="s">
        <v>13</v>
      </c>
      <c r="H8" s="11" t="s">
        <v>14</v>
      </c>
      <c r="I8" s="11" t="s">
        <v>15</v>
      </c>
      <c r="J8" s="12" t="s">
        <v>16</v>
      </c>
    </row>
    <row r="9" spans="1:10" x14ac:dyDescent="0.7">
      <c r="A9" s="1">
        <v>1</v>
      </c>
      <c r="B9" s="11" t="s">
        <v>17</v>
      </c>
      <c r="C9" s="11" t="s">
        <v>20</v>
      </c>
      <c r="D9" s="11" t="s">
        <v>26</v>
      </c>
      <c r="E9" s="12" t="s">
        <v>27</v>
      </c>
      <c r="F9" s="11" t="s">
        <v>33</v>
      </c>
      <c r="G9" s="11" t="s">
        <v>35</v>
      </c>
      <c r="H9" s="11"/>
      <c r="I9" s="2">
        <v>46280</v>
      </c>
      <c r="J9" s="12"/>
    </row>
    <row r="10" spans="1:10" x14ac:dyDescent="0.7">
      <c r="A10" s="1">
        <v>2</v>
      </c>
      <c r="B10" s="11" t="s">
        <v>19</v>
      </c>
      <c r="C10" s="11" t="s">
        <v>20</v>
      </c>
      <c r="D10" s="11" t="s">
        <v>26</v>
      </c>
      <c r="E10" s="12" t="s">
        <v>28</v>
      </c>
      <c r="F10" s="11" t="s">
        <v>33</v>
      </c>
      <c r="G10" s="11" t="s">
        <v>35</v>
      </c>
      <c r="H10" s="11"/>
      <c r="I10" s="2">
        <v>46280</v>
      </c>
      <c r="J10" s="12"/>
    </row>
    <row r="11" spans="1:10" x14ac:dyDescent="0.7">
      <c r="A11" s="1">
        <v>3</v>
      </c>
      <c r="B11" s="11" t="s">
        <v>19</v>
      </c>
      <c r="C11" s="11" t="s">
        <v>21</v>
      </c>
      <c r="D11" s="11" t="s">
        <v>26</v>
      </c>
      <c r="E11" s="12" t="s">
        <v>29</v>
      </c>
      <c r="F11" s="11" t="s">
        <v>33</v>
      </c>
      <c r="G11" s="11" t="s">
        <v>35</v>
      </c>
      <c r="H11" s="11"/>
      <c r="I11" s="2">
        <v>46280</v>
      </c>
      <c r="J11" s="12"/>
    </row>
    <row r="12" spans="1:10" x14ac:dyDescent="0.7">
      <c r="A12" s="1">
        <v>4</v>
      </c>
      <c r="B12" s="11" t="s">
        <v>19</v>
      </c>
      <c r="C12" s="11" t="s">
        <v>22</v>
      </c>
      <c r="D12" s="11" t="s">
        <v>26</v>
      </c>
      <c r="E12" s="12" t="s">
        <v>30</v>
      </c>
      <c r="F12" s="11" t="s">
        <v>33</v>
      </c>
      <c r="G12" s="11" t="s">
        <v>35</v>
      </c>
      <c r="H12" s="11"/>
      <c r="I12" s="2">
        <v>46283</v>
      </c>
      <c r="J12" s="12"/>
    </row>
    <row r="13" spans="1:10" ht="33" x14ac:dyDescent="0.7">
      <c r="A13" s="1">
        <v>5</v>
      </c>
      <c r="B13" s="11" t="s">
        <v>19</v>
      </c>
      <c r="C13" s="11" t="s">
        <v>23</v>
      </c>
      <c r="D13" s="11" t="s">
        <v>40</v>
      </c>
      <c r="E13" s="12" t="s">
        <v>31</v>
      </c>
      <c r="F13" s="11" t="s">
        <v>57</v>
      </c>
      <c r="G13" s="11" t="s">
        <v>35</v>
      </c>
      <c r="H13" s="11"/>
      <c r="I13" s="11"/>
      <c r="J13" s="12" t="s">
        <v>58</v>
      </c>
    </row>
    <row r="14" spans="1:10" x14ac:dyDescent="0.7">
      <c r="A14" s="1">
        <v>6</v>
      </c>
      <c r="B14" s="11" t="s">
        <v>19</v>
      </c>
      <c r="C14" s="11" t="s">
        <v>24</v>
      </c>
      <c r="D14" s="11" t="s">
        <v>26</v>
      </c>
      <c r="E14" s="12" t="s">
        <v>32</v>
      </c>
      <c r="F14" s="11" t="s">
        <v>33</v>
      </c>
      <c r="G14" s="11" t="s">
        <v>35</v>
      </c>
      <c r="H14" s="11"/>
      <c r="I14" s="2">
        <v>46282</v>
      </c>
      <c r="J14" s="12"/>
    </row>
    <row r="15" spans="1:10" ht="33" x14ac:dyDescent="0.7">
      <c r="A15" s="1">
        <v>7</v>
      </c>
      <c r="B15" s="11" t="s">
        <v>19</v>
      </c>
      <c r="C15" s="11" t="s">
        <v>25</v>
      </c>
      <c r="D15" s="11" t="s">
        <v>26</v>
      </c>
      <c r="E15" s="12" t="s">
        <v>56</v>
      </c>
      <c r="F15" s="11" t="s">
        <v>33</v>
      </c>
      <c r="G15" s="11" t="s">
        <v>35</v>
      </c>
      <c r="H15" s="11"/>
      <c r="I15" s="2">
        <v>46282</v>
      </c>
      <c r="J15" s="12" t="s">
        <v>59</v>
      </c>
    </row>
    <row r="16" spans="1:10" x14ac:dyDescent="0.7">
      <c r="A16" s="1">
        <v>8</v>
      </c>
      <c r="B16" s="11" t="s">
        <v>18</v>
      </c>
      <c r="C16" s="11" t="s">
        <v>36</v>
      </c>
      <c r="D16" s="11" t="s">
        <v>40</v>
      </c>
      <c r="E16" s="12" t="s">
        <v>41</v>
      </c>
      <c r="F16" s="11" t="s">
        <v>34</v>
      </c>
      <c r="G16" s="11" t="s">
        <v>45</v>
      </c>
      <c r="H16" s="11"/>
      <c r="I16" s="11"/>
      <c r="J16" s="12"/>
    </row>
    <row r="17" spans="1:10" x14ac:dyDescent="0.7">
      <c r="A17" s="1">
        <v>9</v>
      </c>
      <c r="B17" s="11" t="s">
        <v>18</v>
      </c>
      <c r="C17" s="11" t="s">
        <v>37</v>
      </c>
      <c r="D17" s="11" t="s">
        <v>40</v>
      </c>
      <c r="E17" s="12" t="s">
        <v>42</v>
      </c>
      <c r="F17" s="11" t="s">
        <v>34</v>
      </c>
      <c r="G17" s="11" t="s">
        <v>45</v>
      </c>
      <c r="H17" s="11"/>
      <c r="I17" s="11"/>
      <c r="J17" s="12"/>
    </row>
    <row r="18" spans="1:10" x14ac:dyDescent="0.7">
      <c r="A18" s="1">
        <v>10</v>
      </c>
      <c r="B18" s="11" t="s">
        <v>18</v>
      </c>
      <c r="C18" s="11" t="s">
        <v>38</v>
      </c>
      <c r="D18" s="11" t="s">
        <v>40</v>
      </c>
      <c r="E18" s="12" t="s">
        <v>43</v>
      </c>
      <c r="F18" s="11" t="s">
        <v>34</v>
      </c>
      <c r="G18" s="11" t="s">
        <v>45</v>
      </c>
      <c r="H18" s="11"/>
      <c r="I18" s="11"/>
      <c r="J18" s="12"/>
    </row>
    <row r="19" spans="1:10" ht="33" x14ac:dyDescent="0.7">
      <c r="A19" s="1">
        <v>11</v>
      </c>
      <c r="B19" s="11" t="s">
        <v>18</v>
      </c>
      <c r="C19" s="11" t="s">
        <v>39</v>
      </c>
      <c r="D19" s="11" t="s">
        <v>26</v>
      </c>
      <c r="E19" s="12" t="s">
        <v>44</v>
      </c>
      <c r="F19" s="11" t="s">
        <v>34</v>
      </c>
      <c r="G19" s="11" t="s">
        <v>45</v>
      </c>
      <c r="H19" s="11"/>
      <c r="I19" s="11"/>
      <c r="J19" s="12"/>
    </row>
  </sheetData>
  <phoneticPr fontId="2"/>
  <conditionalFormatting sqref="F9:F19">
    <cfRule type="containsText" dxfId="7" priority="1" operator="containsText" text="進行中">
      <formula>NOT(ISERROR(SEARCH("進行中",F9)))</formula>
    </cfRule>
    <cfRule type="containsText" dxfId="6" priority="2" operator="containsText" text="完了">
      <formula>NOT(ISERROR(SEARCH("完了",F9)))</formula>
    </cfRule>
  </conditionalFormatting>
  <dataValidations count="2">
    <dataValidation type="list" allowBlank="1" showInputMessage="1" showErrorMessage="1" sqref="F9:F19" xr:uid="{371EB76D-E222-4D04-84CE-CC4712CDB324}">
      <formula1>"未着手,進行中,完了"</formula1>
    </dataValidation>
    <dataValidation type="list" allowBlank="1" showInputMessage="1" showErrorMessage="1" sqref="G9:G19" xr:uid="{5EB09C35-F02D-43D3-AC8D-55A8E57DA36D}">
      <formula1>"高,中,低"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6C85-171F-4A6A-84E0-A39E9DFB6A75}">
  <dimension ref="A1:K100"/>
  <sheetViews>
    <sheetView topLeftCell="G1" workbookViewId="0">
      <pane ySplit="5" topLeftCell="A6" activePane="bottomLeft" state="frozen"/>
      <selection pane="bottomLeft" activeCell="J2" sqref="J2"/>
    </sheetView>
  </sheetViews>
  <sheetFormatPr defaultRowHeight="16.5" x14ac:dyDescent="0.7"/>
  <cols>
    <col min="1" max="1" width="6.5625" style="1" customWidth="1"/>
    <col min="2" max="2" width="13.5625" style="1" customWidth="1"/>
    <col min="3" max="3" width="16.5625" style="1" customWidth="1"/>
    <col min="4" max="4" width="13.5625" style="1" customWidth="1"/>
    <col min="5" max="5" width="28.5625" style="1" customWidth="1"/>
    <col min="6" max="6" width="32.5625" style="1" customWidth="1"/>
    <col min="7" max="9" width="12.5625" style="1" customWidth="1"/>
    <col min="10" max="11" width="25.5625" style="1" customWidth="1"/>
    <col min="12" max="16384" width="9" style="1"/>
  </cols>
  <sheetData>
    <row r="1" spans="1:11" ht="25.9" x14ac:dyDescent="0.7">
      <c r="A1" s="3" t="s">
        <v>46</v>
      </c>
    </row>
    <row r="2" spans="1:11" x14ac:dyDescent="0.7">
      <c r="A2" s="1" t="s">
        <v>1</v>
      </c>
      <c r="B2" s="2">
        <v>46280</v>
      </c>
    </row>
    <row r="4" spans="1:11" ht="19.899999999999999" x14ac:dyDescent="0.7">
      <c r="A4" s="5" t="s">
        <v>47</v>
      </c>
    </row>
    <row r="5" spans="1:11" x14ac:dyDescent="0.7">
      <c r="A5" s="10" t="s">
        <v>7</v>
      </c>
      <c r="B5" s="10" t="s">
        <v>10</v>
      </c>
      <c r="C5" s="10" t="s">
        <v>48</v>
      </c>
      <c r="D5" s="10" t="s">
        <v>49</v>
      </c>
      <c r="E5" s="9" t="s">
        <v>50</v>
      </c>
      <c r="F5" s="9" t="s">
        <v>51</v>
      </c>
      <c r="G5" s="1" t="s">
        <v>52</v>
      </c>
      <c r="H5" s="1" t="s">
        <v>53</v>
      </c>
      <c r="I5" s="1" t="s">
        <v>54</v>
      </c>
      <c r="J5" s="9" t="s">
        <v>55</v>
      </c>
      <c r="K5" s="9" t="s">
        <v>16</v>
      </c>
    </row>
    <row r="6" spans="1:11" x14ac:dyDescent="0.7">
      <c r="A6" s="10" t="str">
        <f>IF(B6="","",ROW()-5)</f>
        <v/>
      </c>
      <c r="B6" s="10"/>
      <c r="C6" s="10"/>
      <c r="D6" s="10"/>
      <c r="E6" s="9"/>
      <c r="F6" s="9"/>
      <c r="J6" s="9"/>
      <c r="K6" s="9"/>
    </row>
    <row r="7" spans="1:11" x14ac:dyDescent="0.7">
      <c r="A7" s="10"/>
      <c r="B7" s="10"/>
      <c r="C7" s="10"/>
      <c r="D7" s="10"/>
      <c r="E7" s="9"/>
      <c r="F7" s="9"/>
      <c r="J7" s="9"/>
      <c r="K7" s="9"/>
    </row>
    <row r="8" spans="1:11" x14ac:dyDescent="0.7">
      <c r="A8" s="10"/>
      <c r="B8" s="10"/>
      <c r="C8" s="10"/>
      <c r="D8" s="10"/>
      <c r="E8" s="9"/>
      <c r="F8" s="9"/>
      <c r="J8" s="9"/>
      <c r="K8" s="9"/>
    </row>
    <row r="9" spans="1:11" x14ac:dyDescent="0.7">
      <c r="A9" s="10"/>
      <c r="B9" s="10"/>
      <c r="C9" s="10"/>
      <c r="D9" s="10"/>
      <c r="E9" s="9"/>
      <c r="F9" s="9"/>
      <c r="J9" s="9"/>
      <c r="K9" s="9"/>
    </row>
    <row r="10" spans="1:11" x14ac:dyDescent="0.7">
      <c r="A10" s="10"/>
      <c r="B10" s="10"/>
      <c r="C10" s="10"/>
      <c r="D10" s="10"/>
      <c r="E10" s="9"/>
      <c r="F10" s="9"/>
      <c r="J10" s="9"/>
      <c r="K10" s="9"/>
    </row>
    <row r="11" spans="1:11" x14ac:dyDescent="0.7">
      <c r="A11" s="10"/>
      <c r="B11" s="10"/>
      <c r="C11" s="10"/>
      <c r="D11" s="10"/>
      <c r="E11" s="9"/>
      <c r="F11" s="9"/>
      <c r="J11" s="9"/>
      <c r="K11" s="9"/>
    </row>
    <row r="12" spans="1:11" x14ac:dyDescent="0.7">
      <c r="A12" s="10"/>
      <c r="B12" s="10"/>
      <c r="C12" s="10"/>
      <c r="D12" s="10"/>
      <c r="E12" s="9"/>
      <c r="F12" s="9"/>
      <c r="J12" s="9"/>
      <c r="K12" s="9"/>
    </row>
    <row r="13" spans="1:11" x14ac:dyDescent="0.7">
      <c r="A13" s="10"/>
      <c r="B13" s="10"/>
      <c r="C13" s="10"/>
      <c r="D13" s="10"/>
      <c r="E13" s="9"/>
      <c r="F13" s="9"/>
      <c r="J13" s="9"/>
      <c r="K13" s="9"/>
    </row>
    <row r="14" spans="1:11" x14ac:dyDescent="0.7">
      <c r="A14" s="10"/>
      <c r="B14" s="10"/>
      <c r="C14" s="10"/>
      <c r="D14" s="10"/>
      <c r="E14" s="9"/>
      <c r="F14" s="9"/>
      <c r="J14" s="9"/>
      <c r="K14" s="9"/>
    </row>
    <row r="15" spans="1:11" x14ac:dyDescent="0.7">
      <c r="A15" s="10"/>
      <c r="B15" s="10"/>
      <c r="C15" s="10"/>
      <c r="D15" s="10"/>
      <c r="E15" s="9"/>
      <c r="F15" s="9"/>
      <c r="J15" s="9"/>
      <c r="K15" s="9"/>
    </row>
    <row r="16" spans="1:11" x14ac:dyDescent="0.7">
      <c r="A16" s="10"/>
      <c r="B16" s="10"/>
      <c r="C16" s="10"/>
      <c r="D16" s="10"/>
      <c r="E16" s="9"/>
      <c r="F16" s="9"/>
      <c r="J16" s="9"/>
      <c r="K16" s="9"/>
    </row>
    <row r="17" spans="1:11" x14ac:dyDescent="0.7">
      <c r="A17" s="10"/>
      <c r="B17" s="10"/>
      <c r="C17" s="10"/>
      <c r="D17" s="10"/>
      <c r="E17" s="9"/>
      <c r="F17" s="9"/>
      <c r="J17" s="9"/>
      <c r="K17" s="9"/>
    </row>
    <row r="18" spans="1:11" x14ac:dyDescent="0.7">
      <c r="A18" s="10"/>
      <c r="B18" s="10"/>
      <c r="C18" s="10"/>
      <c r="D18" s="10"/>
      <c r="E18" s="9"/>
      <c r="F18" s="9"/>
      <c r="J18" s="9"/>
      <c r="K18" s="9"/>
    </row>
    <row r="19" spans="1:11" x14ac:dyDescent="0.7">
      <c r="A19" s="10"/>
      <c r="B19" s="10"/>
      <c r="C19" s="10"/>
      <c r="D19" s="10"/>
      <c r="E19" s="9"/>
      <c r="F19" s="9"/>
      <c r="J19" s="9"/>
      <c r="K19" s="9"/>
    </row>
    <row r="20" spans="1:11" x14ac:dyDescent="0.7">
      <c r="A20" s="10"/>
      <c r="B20" s="10"/>
      <c r="C20" s="10"/>
      <c r="D20" s="10"/>
      <c r="E20" s="9"/>
      <c r="F20" s="9"/>
      <c r="J20" s="9"/>
      <c r="K20" s="9"/>
    </row>
    <row r="21" spans="1:11" x14ac:dyDescent="0.7">
      <c r="A21" s="10"/>
      <c r="B21" s="10"/>
      <c r="C21" s="10"/>
      <c r="D21" s="10"/>
      <c r="E21" s="9"/>
      <c r="F21" s="9"/>
      <c r="J21" s="9"/>
      <c r="K21" s="9"/>
    </row>
    <row r="22" spans="1:11" x14ac:dyDescent="0.7">
      <c r="A22" s="10"/>
      <c r="B22" s="10"/>
      <c r="C22" s="10"/>
      <c r="D22" s="10"/>
      <c r="E22" s="9"/>
      <c r="F22" s="9"/>
      <c r="J22" s="9"/>
      <c r="K22" s="9"/>
    </row>
    <row r="23" spans="1:11" x14ac:dyDescent="0.7">
      <c r="A23" s="10"/>
      <c r="B23" s="10"/>
      <c r="C23" s="10"/>
      <c r="D23" s="10"/>
      <c r="E23" s="9"/>
      <c r="F23" s="9"/>
      <c r="J23" s="9"/>
      <c r="K23" s="9"/>
    </row>
    <row r="24" spans="1:11" x14ac:dyDescent="0.7">
      <c r="A24" s="10"/>
      <c r="B24" s="10"/>
      <c r="C24" s="10"/>
      <c r="D24" s="10"/>
      <c r="E24" s="9"/>
      <c r="F24" s="9"/>
      <c r="J24" s="9"/>
      <c r="K24" s="9"/>
    </row>
    <row r="25" spans="1:11" x14ac:dyDescent="0.7">
      <c r="A25" s="10"/>
      <c r="B25" s="10"/>
      <c r="C25" s="10"/>
      <c r="D25" s="10"/>
      <c r="E25" s="9"/>
      <c r="F25" s="9"/>
      <c r="J25" s="9"/>
      <c r="K25" s="9"/>
    </row>
    <row r="26" spans="1:11" x14ac:dyDescent="0.7">
      <c r="A26" s="10"/>
      <c r="B26" s="10"/>
      <c r="C26" s="10"/>
      <c r="D26" s="10"/>
      <c r="E26" s="9"/>
      <c r="F26" s="9"/>
      <c r="J26" s="9"/>
      <c r="K26" s="9"/>
    </row>
    <row r="27" spans="1:11" x14ac:dyDescent="0.7">
      <c r="A27" s="10"/>
      <c r="B27" s="10"/>
      <c r="C27" s="10"/>
      <c r="D27" s="10"/>
      <c r="E27" s="9"/>
      <c r="F27" s="9"/>
      <c r="J27" s="9"/>
      <c r="K27" s="9"/>
    </row>
    <row r="28" spans="1:11" x14ac:dyDescent="0.7">
      <c r="A28" s="10"/>
      <c r="B28" s="10"/>
      <c r="C28" s="10"/>
      <c r="D28" s="10"/>
      <c r="E28" s="9"/>
      <c r="F28" s="9"/>
      <c r="J28" s="9"/>
      <c r="K28" s="9"/>
    </row>
    <row r="29" spans="1:11" x14ac:dyDescent="0.7">
      <c r="A29" s="10"/>
      <c r="B29" s="10"/>
      <c r="C29" s="10"/>
      <c r="D29" s="10"/>
      <c r="E29" s="9"/>
      <c r="F29" s="9"/>
      <c r="J29" s="9"/>
      <c r="K29" s="9"/>
    </row>
    <row r="30" spans="1:11" x14ac:dyDescent="0.7">
      <c r="A30" s="10"/>
      <c r="B30" s="10"/>
      <c r="C30" s="10"/>
      <c r="D30" s="10"/>
      <c r="E30" s="9"/>
      <c r="F30" s="9"/>
      <c r="J30" s="9"/>
      <c r="K30" s="9"/>
    </row>
    <row r="31" spans="1:11" x14ac:dyDescent="0.7">
      <c r="A31" s="10"/>
      <c r="B31" s="10"/>
      <c r="C31" s="10"/>
      <c r="D31" s="10"/>
      <c r="E31" s="9"/>
      <c r="F31" s="9"/>
      <c r="J31" s="9"/>
      <c r="K31" s="9"/>
    </row>
    <row r="32" spans="1:11" x14ac:dyDescent="0.7">
      <c r="A32" s="10"/>
      <c r="B32" s="10"/>
      <c r="C32" s="10"/>
      <c r="D32" s="10"/>
      <c r="E32" s="9"/>
      <c r="F32" s="9"/>
      <c r="J32" s="9"/>
      <c r="K32" s="9"/>
    </row>
    <row r="33" spans="1:11" x14ac:dyDescent="0.7">
      <c r="A33" s="10"/>
      <c r="B33" s="10"/>
      <c r="C33" s="10"/>
      <c r="D33" s="10"/>
      <c r="E33" s="9"/>
      <c r="F33" s="9"/>
      <c r="J33" s="9"/>
      <c r="K33" s="9"/>
    </row>
    <row r="34" spans="1:11" x14ac:dyDescent="0.7">
      <c r="A34" s="10"/>
      <c r="B34" s="10"/>
      <c r="C34" s="10"/>
      <c r="D34" s="10"/>
      <c r="E34" s="9"/>
      <c r="F34" s="9"/>
      <c r="J34" s="9"/>
      <c r="K34" s="9"/>
    </row>
    <row r="35" spans="1:11" x14ac:dyDescent="0.7">
      <c r="A35" s="10"/>
      <c r="B35" s="10"/>
      <c r="C35" s="10"/>
      <c r="D35" s="10"/>
      <c r="E35" s="9"/>
      <c r="F35" s="9"/>
      <c r="J35" s="9"/>
      <c r="K35" s="9"/>
    </row>
    <row r="36" spans="1:11" x14ac:dyDescent="0.7">
      <c r="A36" s="10"/>
      <c r="B36" s="10"/>
      <c r="C36" s="10"/>
      <c r="D36" s="10"/>
      <c r="E36" s="9"/>
      <c r="F36" s="9"/>
      <c r="J36" s="9"/>
      <c r="K36" s="9"/>
    </row>
    <row r="37" spans="1:11" x14ac:dyDescent="0.7">
      <c r="A37" s="10"/>
      <c r="B37" s="10"/>
      <c r="C37" s="10"/>
      <c r="D37" s="10"/>
      <c r="E37" s="9"/>
      <c r="F37" s="9"/>
      <c r="J37" s="9"/>
      <c r="K37" s="9"/>
    </row>
    <row r="38" spans="1:11" x14ac:dyDescent="0.7">
      <c r="A38" s="10"/>
      <c r="B38" s="10"/>
      <c r="C38" s="10"/>
      <c r="D38" s="10"/>
      <c r="E38" s="9"/>
      <c r="F38" s="9"/>
      <c r="J38" s="9"/>
      <c r="K38" s="9"/>
    </row>
    <row r="39" spans="1:11" x14ac:dyDescent="0.7">
      <c r="A39" s="10"/>
      <c r="B39" s="10"/>
      <c r="C39" s="10"/>
      <c r="D39" s="10"/>
      <c r="E39" s="9"/>
      <c r="F39" s="9"/>
      <c r="J39" s="9"/>
      <c r="K39" s="9"/>
    </row>
    <row r="40" spans="1:11" x14ac:dyDescent="0.7">
      <c r="A40" s="10"/>
      <c r="B40" s="10"/>
      <c r="C40" s="10"/>
      <c r="D40" s="10"/>
      <c r="E40" s="9"/>
      <c r="F40" s="9"/>
      <c r="J40" s="9"/>
      <c r="K40" s="9"/>
    </row>
    <row r="41" spans="1:11" x14ac:dyDescent="0.7">
      <c r="A41" s="10"/>
      <c r="B41" s="10"/>
      <c r="C41" s="10"/>
      <c r="D41" s="10"/>
      <c r="E41" s="9"/>
      <c r="F41" s="9"/>
      <c r="J41" s="9"/>
      <c r="K41" s="9"/>
    </row>
    <row r="42" spans="1:11" x14ac:dyDescent="0.7">
      <c r="A42" s="10"/>
      <c r="B42" s="10"/>
      <c r="C42" s="10"/>
      <c r="D42" s="10"/>
      <c r="E42" s="9"/>
      <c r="F42" s="9"/>
      <c r="J42" s="9"/>
      <c r="K42" s="9"/>
    </row>
    <row r="43" spans="1:11" x14ac:dyDescent="0.7">
      <c r="A43" s="10"/>
      <c r="B43" s="10"/>
      <c r="C43" s="10"/>
      <c r="D43" s="10"/>
      <c r="E43" s="9"/>
      <c r="F43" s="9"/>
      <c r="J43" s="9"/>
      <c r="K43" s="9"/>
    </row>
    <row r="44" spans="1:11" x14ac:dyDescent="0.7">
      <c r="A44" s="10"/>
      <c r="B44" s="10"/>
      <c r="C44" s="10"/>
      <c r="D44" s="10"/>
      <c r="E44" s="9"/>
      <c r="F44" s="9"/>
      <c r="J44" s="9"/>
      <c r="K44" s="9"/>
    </row>
    <row r="45" spans="1:11" x14ac:dyDescent="0.7">
      <c r="A45" s="10"/>
      <c r="B45" s="10"/>
      <c r="C45" s="10"/>
      <c r="D45" s="10"/>
      <c r="E45" s="9"/>
      <c r="F45" s="9"/>
      <c r="J45" s="9"/>
      <c r="K45" s="9"/>
    </row>
    <row r="46" spans="1:11" x14ac:dyDescent="0.7">
      <c r="A46" s="10"/>
      <c r="B46" s="10"/>
      <c r="C46" s="10"/>
      <c r="D46" s="10"/>
      <c r="E46" s="9"/>
      <c r="F46" s="9"/>
      <c r="J46" s="9"/>
      <c r="K46" s="9"/>
    </row>
    <row r="47" spans="1:11" x14ac:dyDescent="0.7">
      <c r="A47" s="10"/>
      <c r="B47" s="10"/>
      <c r="C47" s="10"/>
      <c r="D47" s="10"/>
      <c r="E47" s="9"/>
      <c r="F47" s="9"/>
      <c r="J47" s="9"/>
      <c r="K47" s="9"/>
    </row>
    <row r="48" spans="1:11" x14ac:dyDescent="0.7">
      <c r="A48" s="10"/>
      <c r="B48" s="10"/>
      <c r="C48" s="10"/>
      <c r="D48" s="10"/>
      <c r="E48" s="9"/>
      <c r="F48" s="9"/>
      <c r="J48" s="9"/>
      <c r="K48" s="9"/>
    </row>
    <row r="49" spans="1:11" x14ac:dyDescent="0.7">
      <c r="A49" s="10"/>
      <c r="B49" s="10"/>
      <c r="C49" s="10"/>
      <c r="D49" s="10"/>
      <c r="E49" s="9"/>
      <c r="F49" s="9"/>
      <c r="J49" s="9"/>
      <c r="K49" s="9"/>
    </row>
    <row r="50" spans="1:11" x14ac:dyDescent="0.7">
      <c r="A50" s="10"/>
      <c r="B50" s="10"/>
      <c r="C50" s="10"/>
      <c r="D50" s="10"/>
      <c r="E50" s="9"/>
      <c r="F50" s="9"/>
      <c r="J50" s="9"/>
      <c r="K50" s="9"/>
    </row>
    <row r="51" spans="1:11" x14ac:dyDescent="0.7">
      <c r="A51" s="10"/>
      <c r="B51" s="10"/>
      <c r="C51" s="10"/>
      <c r="D51" s="10"/>
      <c r="E51" s="9"/>
      <c r="F51" s="9"/>
      <c r="J51" s="9"/>
      <c r="K51" s="9"/>
    </row>
    <row r="52" spans="1:11" x14ac:dyDescent="0.7">
      <c r="A52" s="10"/>
      <c r="B52" s="10"/>
      <c r="C52" s="10"/>
      <c r="D52" s="10"/>
      <c r="E52" s="9"/>
      <c r="F52" s="9"/>
      <c r="J52" s="9"/>
      <c r="K52" s="9"/>
    </row>
    <row r="53" spans="1:11" x14ac:dyDescent="0.7">
      <c r="A53" s="10"/>
      <c r="B53" s="10"/>
      <c r="C53" s="10"/>
      <c r="D53" s="10"/>
      <c r="E53" s="9"/>
      <c r="F53" s="9"/>
      <c r="J53" s="9"/>
      <c r="K53" s="9"/>
    </row>
    <row r="54" spans="1:11" x14ac:dyDescent="0.7">
      <c r="A54" s="10"/>
      <c r="B54" s="10"/>
      <c r="C54" s="10"/>
      <c r="D54" s="10"/>
      <c r="E54" s="9"/>
      <c r="F54" s="9"/>
      <c r="J54" s="9"/>
      <c r="K54" s="9"/>
    </row>
    <row r="55" spans="1:11" x14ac:dyDescent="0.7">
      <c r="A55" s="10"/>
      <c r="B55" s="10"/>
      <c r="C55" s="10"/>
      <c r="D55" s="10"/>
      <c r="E55" s="9"/>
      <c r="F55" s="9"/>
      <c r="J55" s="9"/>
      <c r="K55" s="9"/>
    </row>
    <row r="56" spans="1:11" x14ac:dyDescent="0.7">
      <c r="A56" s="10"/>
      <c r="B56" s="10"/>
      <c r="C56" s="10"/>
      <c r="D56" s="10"/>
      <c r="E56" s="9"/>
      <c r="F56" s="9"/>
      <c r="J56" s="9"/>
      <c r="K56" s="9"/>
    </row>
    <row r="57" spans="1:11" x14ac:dyDescent="0.7">
      <c r="A57" s="10"/>
      <c r="B57" s="10"/>
      <c r="C57" s="10"/>
      <c r="D57" s="10"/>
      <c r="E57" s="9"/>
      <c r="F57" s="9"/>
      <c r="J57" s="9"/>
      <c r="K57" s="9"/>
    </row>
    <row r="58" spans="1:11" x14ac:dyDescent="0.7">
      <c r="A58" s="10"/>
      <c r="B58" s="10"/>
      <c r="C58" s="10"/>
      <c r="D58" s="10"/>
      <c r="E58" s="9"/>
      <c r="F58" s="9"/>
      <c r="J58" s="9"/>
      <c r="K58" s="9"/>
    </row>
    <row r="59" spans="1:11" x14ac:dyDescent="0.7">
      <c r="A59" s="10"/>
      <c r="B59" s="10"/>
      <c r="C59" s="10"/>
      <c r="D59" s="10"/>
      <c r="E59" s="9"/>
      <c r="F59" s="9"/>
      <c r="J59" s="9"/>
      <c r="K59" s="9"/>
    </row>
    <row r="60" spans="1:11" x14ac:dyDescent="0.7">
      <c r="A60" s="10"/>
      <c r="B60" s="10"/>
      <c r="C60" s="10"/>
      <c r="D60" s="10"/>
      <c r="E60" s="9"/>
      <c r="F60" s="9"/>
      <c r="J60" s="9"/>
      <c r="K60" s="9"/>
    </row>
    <row r="61" spans="1:11" x14ac:dyDescent="0.7">
      <c r="A61" s="10"/>
      <c r="B61" s="10"/>
      <c r="C61" s="10"/>
      <c r="D61" s="10"/>
      <c r="E61" s="9"/>
      <c r="F61" s="9"/>
      <c r="J61" s="9"/>
      <c r="K61" s="9"/>
    </row>
    <row r="62" spans="1:11" x14ac:dyDescent="0.7">
      <c r="A62" s="10"/>
      <c r="B62" s="10"/>
      <c r="C62" s="10"/>
      <c r="D62" s="10"/>
      <c r="E62" s="9"/>
      <c r="F62" s="9"/>
      <c r="J62" s="9"/>
      <c r="K62" s="9"/>
    </row>
    <row r="63" spans="1:11" x14ac:dyDescent="0.7">
      <c r="A63" s="10"/>
      <c r="B63" s="10"/>
      <c r="C63" s="10"/>
      <c r="D63" s="10"/>
      <c r="E63" s="9"/>
      <c r="F63" s="9"/>
      <c r="J63" s="9"/>
      <c r="K63" s="9"/>
    </row>
    <row r="64" spans="1:11" x14ac:dyDescent="0.7">
      <c r="A64" s="10"/>
      <c r="B64" s="10"/>
      <c r="C64" s="10"/>
      <c r="D64" s="10"/>
      <c r="E64" s="9"/>
      <c r="F64" s="9"/>
      <c r="J64" s="9"/>
      <c r="K64" s="9"/>
    </row>
    <row r="65" spans="1:11" x14ac:dyDescent="0.7">
      <c r="A65" s="10"/>
      <c r="B65" s="10"/>
      <c r="C65" s="10"/>
      <c r="D65" s="10"/>
      <c r="E65" s="9"/>
      <c r="F65" s="9"/>
      <c r="J65" s="9"/>
      <c r="K65" s="9"/>
    </row>
    <row r="66" spans="1:11" x14ac:dyDescent="0.7">
      <c r="A66" s="10"/>
      <c r="B66" s="10"/>
      <c r="C66" s="10"/>
      <c r="D66" s="10"/>
      <c r="E66" s="9"/>
      <c r="F66" s="9"/>
      <c r="J66" s="9"/>
      <c r="K66" s="9"/>
    </row>
    <row r="67" spans="1:11" x14ac:dyDescent="0.7">
      <c r="A67" s="10"/>
      <c r="B67" s="10"/>
      <c r="C67" s="10"/>
      <c r="D67" s="10"/>
      <c r="E67" s="9"/>
      <c r="F67" s="9"/>
      <c r="J67" s="9"/>
      <c r="K67" s="9"/>
    </row>
    <row r="68" spans="1:11" x14ac:dyDescent="0.7">
      <c r="A68" s="10"/>
      <c r="B68" s="10"/>
      <c r="C68" s="10"/>
      <c r="D68" s="10"/>
      <c r="E68" s="9"/>
      <c r="F68" s="9"/>
      <c r="J68" s="9"/>
      <c r="K68" s="9"/>
    </row>
    <row r="69" spans="1:11" x14ac:dyDescent="0.7">
      <c r="A69" s="10"/>
      <c r="B69" s="10"/>
      <c r="C69" s="10"/>
      <c r="D69" s="10"/>
      <c r="E69" s="9"/>
      <c r="F69" s="9"/>
      <c r="J69" s="9"/>
      <c r="K69" s="9"/>
    </row>
    <row r="70" spans="1:11" x14ac:dyDescent="0.7">
      <c r="A70" s="10"/>
      <c r="B70" s="10"/>
      <c r="C70" s="10"/>
      <c r="D70" s="10"/>
      <c r="E70" s="9"/>
      <c r="F70" s="9"/>
      <c r="J70" s="9"/>
      <c r="K70" s="9"/>
    </row>
    <row r="71" spans="1:11" x14ac:dyDescent="0.7">
      <c r="A71" s="10"/>
      <c r="B71" s="10"/>
      <c r="C71" s="10"/>
      <c r="D71" s="10"/>
      <c r="E71" s="9"/>
      <c r="F71" s="9"/>
      <c r="J71" s="9"/>
      <c r="K71" s="9"/>
    </row>
    <row r="72" spans="1:11" x14ac:dyDescent="0.7">
      <c r="A72" s="10"/>
      <c r="B72" s="10"/>
      <c r="C72" s="10"/>
      <c r="D72" s="10"/>
      <c r="E72" s="9"/>
      <c r="F72" s="9"/>
      <c r="J72" s="9"/>
      <c r="K72" s="9"/>
    </row>
    <row r="73" spans="1:11" x14ac:dyDescent="0.7">
      <c r="A73" s="10"/>
      <c r="B73" s="10"/>
      <c r="C73" s="10"/>
      <c r="D73" s="10"/>
      <c r="E73" s="9"/>
      <c r="F73" s="9"/>
      <c r="J73" s="9"/>
      <c r="K73" s="9"/>
    </row>
    <row r="74" spans="1:11" x14ac:dyDescent="0.7">
      <c r="A74" s="10"/>
      <c r="B74" s="10"/>
      <c r="C74" s="10"/>
      <c r="D74" s="10"/>
      <c r="E74" s="9"/>
      <c r="F74" s="9"/>
      <c r="J74" s="9"/>
      <c r="K74" s="9"/>
    </row>
    <row r="75" spans="1:11" x14ac:dyDescent="0.7">
      <c r="A75" s="10"/>
      <c r="B75" s="10"/>
      <c r="C75" s="10"/>
      <c r="D75" s="10"/>
      <c r="E75" s="9"/>
      <c r="F75" s="9"/>
      <c r="J75" s="9"/>
      <c r="K75" s="9"/>
    </row>
    <row r="76" spans="1:11" x14ac:dyDescent="0.7">
      <c r="A76" s="10"/>
      <c r="B76" s="10"/>
      <c r="C76" s="10"/>
      <c r="D76" s="10"/>
      <c r="E76" s="9"/>
      <c r="F76" s="9"/>
      <c r="J76" s="9"/>
      <c r="K76" s="9"/>
    </row>
    <row r="77" spans="1:11" x14ac:dyDescent="0.7">
      <c r="A77" s="10"/>
      <c r="B77" s="10"/>
      <c r="C77" s="10"/>
      <c r="D77" s="10"/>
      <c r="E77" s="9"/>
      <c r="F77" s="9"/>
      <c r="J77" s="9"/>
      <c r="K77" s="9"/>
    </row>
    <row r="78" spans="1:11" x14ac:dyDescent="0.7">
      <c r="A78" s="10"/>
      <c r="B78" s="10"/>
      <c r="C78" s="10"/>
      <c r="D78" s="10"/>
      <c r="E78" s="9"/>
      <c r="F78" s="9"/>
      <c r="J78" s="9"/>
      <c r="K78" s="9"/>
    </row>
    <row r="79" spans="1:11" x14ac:dyDescent="0.7">
      <c r="A79" s="10"/>
      <c r="B79" s="10"/>
      <c r="C79" s="10"/>
      <c r="D79" s="10"/>
      <c r="E79" s="9"/>
      <c r="F79" s="9"/>
      <c r="J79" s="9"/>
      <c r="K79" s="9"/>
    </row>
    <row r="80" spans="1:11" x14ac:dyDescent="0.7">
      <c r="A80" s="10"/>
      <c r="B80" s="10"/>
      <c r="C80" s="10"/>
      <c r="D80" s="10"/>
      <c r="E80" s="9"/>
      <c r="F80" s="9"/>
      <c r="J80" s="9"/>
      <c r="K80" s="9"/>
    </row>
    <row r="81" spans="1:11" x14ac:dyDescent="0.7">
      <c r="A81" s="10"/>
      <c r="B81" s="10"/>
      <c r="C81" s="10"/>
      <c r="D81" s="10"/>
      <c r="E81" s="9"/>
      <c r="F81" s="9"/>
      <c r="J81" s="9"/>
      <c r="K81" s="9"/>
    </row>
    <row r="82" spans="1:11" x14ac:dyDescent="0.7">
      <c r="A82" s="10"/>
      <c r="B82" s="10"/>
      <c r="C82" s="10"/>
      <c r="D82" s="10"/>
      <c r="E82" s="9"/>
      <c r="F82" s="9"/>
      <c r="J82" s="9"/>
      <c r="K82" s="9"/>
    </row>
    <row r="83" spans="1:11" x14ac:dyDescent="0.7">
      <c r="A83" s="10"/>
      <c r="B83" s="10"/>
      <c r="C83" s="10"/>
      <c r="D83" s="10"/>
      <c r="E83" s="9"/>
      <c r="F83" s="9"/>
      <c r="J83" s="9"/>
      <c r="K83" s="9"/>
    </row>
    <row r="84" spans="1:11" x14ac:dyDescent="0.7">
      <c r="A84" s="10"/>
      <c r="B84" s="10"/>
      <c r="C84" s="10"/>
      <c r="D84" s="10"/>
      <c r="E84" s="9"/>
      <c r="F84" s="9"/>
      <c r="J84" s="9"/>
      <c r="K84" s="9"/>
    </row>
    <row r="85" spans="1:11" x14ac:dyDescent="0.7">
      <c r="A85" s="10"/>
      <c r="B85" s="10"/>
      <c r="C85" s="10"/>
      <c r="D85" s="10"/>
      <c r="E85" s="9"/>
      <c r="F85" s="9"/>
      <c r="J85" s="9"/>
      <c r="K85" s="9"/>
    </row>
    <row r="86" spans="1:11" x14ac:dyDescent="0.7">
      <c r="A86" s="10"/>
      <c r="B86" s="10"/>
      <c r="C86" s="10"/>
      <c r="D86" s="10"/>
      <c r="E86" s="9"/>
      <c r="F86" s="9"/>
      <c r="J86" s="9"/>
      <c r="K86" s="9"/>
    </row>
    <row r="87" spans="1:11" x14ac:dyDescent="0.7">
      <c r="A87" s="10"/>
      <c r="B87" s="10"/>
      <c r="C87" s="10"/>
      <c r="D87" s="10"/>
      <c r="E87" s="9"/>
      <c r="F87" s="9"/>
      <c r="J87" s="9"/>
      <c r="K87" s="9"/>
    </row>
    <row r="88" spans="1:11" x14ac:dyDescent="0.7">
      <c r="A88" s="10"/>
      <c r="B88" s="10"/>
      <c r="C88" s="10"/>
      <c r="D88" s="10"/>
      <c r="E88" s="9"/>
      <c r="F88" s="9"/>
      <c r="J88" s="9"/>
      <c r="K88" s="9"/>
    </row>
    <row r="89" spans="1:11" x14ac:dyDescent="0.7">
      <c r="A89" s="10"/>
      <c r="B89" s="10"/>
      <c r="C89" s="10"/>
      <c r="D89" s="10"/>
      <c r="E89" s="9"/>
      <c r="F89" s="9"/>
      <c r="J89" s="9"/>
      <c r="K89" s="9"/>
    </row>
    <row r="90" spans="1:11" x14ac:dyDescent="0.7">
      <c r="A90" s="10"/>
      <c r="B90" s="10"/>
      <c r="C90" s="10"/>
      <c r="D90" s="10"/>
      <c r="E90" s="9"/>
      <c r="F90" s="9"/>
      <c r="J90" s="9"/>
      <c r="K90" s="9"/>
    </row>
    <row r="91" spans="1:11" x14ac:dyDescent="0.7">
      <c r="A91" s="10"/>
      <c r="B91" s="10"/>
      <c r="C91" s="10"/>
      <c r="D91" s="10"/>
      <c r="E91" s="9"/>
      <c r="F91" s="9"/>
      <c r="J91" s="9"/>
      <c r="K91" s="9"/>
    </row>
    <row r="92" spans="1:11" x14ac:dyDescent="0.7">
      <c r="A92" s="10"/>
      <c r="B92" s="10"/>
      <c r="C92" s="10"/>
      <c r="D92" s="10"/>
      <c r="E92" s="9"/>
      <c r="F92" s="9"/>
      <c r="J92" s="9"/>
      <c r="K92" s="9"/>
    </row>
    <row r="93" spans="1:11" x14ac:dyDescent="0.7">
      <c r="A93" s="10"/>
      <c r="B93" s="10"/>
      <c r="C93" s="10"/>
      <c r="D93" s="10"/>
      <c r="E93" s="9"/>
      <c r="F93" s="9"/>
      <c r="J93" s="9"/>
      <c r="K93" s="9"/>
    </row>
    <row r="94" spans="1:11" x14ac:dyDescent="0.7">
      <c r="A94" s="10"/>
      <c r="B94" s="10"/>
      <c r="C94" s="10"/>
      <c r="D94" s="10"/>
      <c r="E94" s="9"/>
      <c r="F94" s="9"/>
      <c r="J94" s="9"/>
      <c r="K94" s="9"/>
    </row>
    <row r="95" spans="1:11" x14ac:dyDescent="0.7">
      <c r="A95" s="10"/>
      <c r="B95" s="10"/>
      <c r="C95" s="10"/>
      <c r="D95" s="10"/>
      <c r="E95" s="9"/>
      <c r="F95" s="9"/>
      <c r="J95" s="9"/>
      <c r="K95" s="9"/>
    </row>
    <row r="96" spans="1:11" x14ac:dyDescent="0.7">
      <c r="A96" s="10"/>
      <c r="B96" s="10"/>
      <c r="C96" s="10"/>
      <c r="D96" s="10"/>
      <c r="E96" s="9"/>
      <c r="F96" s="9"/>
      <c r="J96" s="9"/>
      <c r="K96" s="9"/>
    </row>
    <row r="97" spans="1:11" x14ac:dyDescent="0.7">
      <c r="A97" s="10"/>
      <c r="B97" s="10"/>
      <c r="C97" s="10"/>
      <c r="D97" s="10"/>
      <c r="E97" s="9"/>
      <c r="F97" s="9"/>
      <c r="J97" s="9"/>
      <c r="K97" s="9"/>
    </row>
    <row r="98" spans="1:11" x14ac:dyDescent="0.7">
      <c r="A98" s="10"/>
      <c r="B98" s="10"/>
      <c r="C98" s="10"/>
      <c r="D98" s="10"/>
      <c r="E98" s="9"/>
      <c r="F98" s="9"/>
      <c r="J98" s="9"/>
      <c r="K98" s="9"/>
    </row>
    <row r="99" spans="1:11" x14ac:dyDescent="0.7">
      <c r="A99" s="10"/>
      <c r="B99" s="10"/>
      <c r="C99" s="10"/>
      <c r="D99" s="10"/>
      <c r="E99" s="9"/>
      <c r="F99" s="9"/>
      <c r="J99" s="9"/>
      <c r="K99" s="9"/>
    </row>
    <row r="100" spans="1:11" x14ac:dyDescent="0.7">
      <c r="A100" s="10"/>
      <c r="B100" s="10"/>
      <c r="C100" s="10"/>
      <c r="D100" s="10"/>
      <c r="E100" s="9"/>
      <c r="F100" s="9"/>
      <c r="J100" s="9"/>
      <c r="K100" s="9"/>
    </row>
  </sheetData>
  <phoneticPr fontId="2"/>
  <conditionalFormatting sqref="G6:G100">
    <cfRule type="containsText" dxfId="5" priority="6" operator="containsText" text="準備中">
      <formula>NOT(ISERROR(SEARCH("準備中",G6)))</formula>
    </cfRule>
    <cfRule type="containsText" dxfId="4" priority="7" operator="containsText" text="準備済み">
      <formula>NOT(ISERROR(SEARCH("準備済み",G6)))</formula>
    </cfRule>
  </conditionalFormatting>
  <conditionalFormatting sqref="H6:H100">
    <cfRule type="containsText" dxfId="3" priority="4" operator="containsText" text="加工中">
      <formula>NOT(ISERROR(SEARCH("加工中",H6)))</formula>
    </cfRule>
    <cfRule type="containsText" dxfId="2" priority="5" operator="containsText" text="加工済み">
      <formula>NOT(ISERROR(SEARCH("加工済み",H6)))</formula>
    </cfRule>
  </conditionalFormatting>
  <conditionalFormatting sqref="I6:I100">
    <cfRule type="containsText" dxfId="1" priority="1" operator="containsText" text="掲載中">
      <formula>NOT(ISERROR(SEARCH("掲載中",I6)))</formula>
    </cfRule>
    <cfRule type="containsText" dxfId="0" priority="2" operator="containsText" text="掲載済み">
      <formula>NOT(ISERROR(SEARCH("掲載済み",I6)))</formula>
    </cfRule>
  </conditionalFormatting>
  <dataValidations count="5">
    <dataValidation type="list" allowBlank="1" showInputMessage="1" showErrorMessage="1" sqref="G6:G100" xr:uid="{C97B416E-42EA-4C43-8879-886D0E16C39E}">
      <formula1>"未準備,準備中,準備済み"</formula1>
    </dataValidation>
    <dataValidation type="list" allowBlank="1" showInputMessage="1" showErrorMessage="1" sqref="H6:H100" xr:uid="{B1168B16-EA6B-4E35-9BB7-614E9C9DBDDB}">
      <formula1>"未加工,加工中,加工済み"</formula1>
    </dataValidation>
    <dataValidation type="list" allowBlank="1" showInputMessage="1" showErrorMessage="1" sqref="I6:I100" xr:uid="{214A0AD2-3BF8-4CB6-85D7-9A38A7DD0E06}">
      <formula1>"未掲載,掲載中,掲載済み"</formula1>
    </dataValidation>
    <dataValidation type="list" allowBlank="1" showInputMessage="1" showErrorMessage="1" sqref="B6:B100" xr:uid="{7AC9591D-6B8F-4A9F-AC18-2D0D06A24069}">
      <formula1>"トップページ,モデルコース,佐賀の見どころ,グルメ,温泉,About,全ページ"</formula1>
    </dataValidation>
    <dataValidation type="list" allowBlank="1" showInputMessage="1" showErrorMessage="1" sqref="D6:D100" xr:uid="{02BB9F3C-6D28-4CB5-89DD-99A1217FF037}">
      <formula1>"画像,アイコン,ロゴ,文章,その他"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制作進捗</vt:lpstr>
      <vt:lpstr>素材管理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努 杉原</dc:creator>
  <cp:lastModifiedBy>努 杉原</cp:lastModifiedBy>
  <dcterms:created xsi:type="dcterms:W3CDTF">2026-09-15T02:50:51Z</dcterms:created>
  <dcterms:modified xsi:type="dcterms:W3CDTF">2026-09-18T11:56:26Z</dcterms:modified>
</cp:coreProperties>
</file>