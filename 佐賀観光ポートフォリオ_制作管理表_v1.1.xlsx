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d9ec8ee41f2d3a/デスクトップ/saga-small-trip/"/>
    </mc:Choice>
  </mc:AlternateContent>
  <xr:revisionPtr revIDLastSave="237" documentId="8_{CABD190A-2B9D-4ED5-A8E4-D67EB6BF6CEE}" xr6:coauthVersionLast="47" xr6:coauthVersionMax="47" xr10:uidLastSave="{75D5A8FE-3831-47E8-8288-4302B7ECCCFE}"/>
  <bookViews>
    <workbookView xWindow="263" yWindow="293" windowWidth="11047" windowHeight="13320" activeTab="1" xr2:uid="{EE90897B-71E4-4343-8F25-66AB760EE550}"/>
  </bookViews>
  <sheets>
    <sheet name="制作進捗" sheetId="1" r:id="rId1"/>
    <sheet name="素材管理" sheetId="2" r:id="rId2"/>
    <sheet name="ライセンス情報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B5" i="1"/>
  <c r="F5" i="1" l="1"/>
</calcChain>
</file>

<file path=xl/sharedStrings.xml><?xml version="1.0" encoding="utf-8"?>
<sst xmlns="http://schemas.openxmlformats.org/spreadsheetml/2006/main" count="695" uniqueCount="285">
  <si>
    <t>佐賀県観光ポートフォリオ制作進捗管理表</t>
    <rPh sb="0" eb="3">
      <t>サガケン</t>
    </rPh>
    <rPh sb="3" eb="5">
      <t>カンコウ</t>
    </rPh>
    <rPh sb="12" eb="14">
      <t>セイサク</t>
    </rPh>
    <rPh sb="14" eb="16">
      <t>シンチョク</t>
    </rPh>
    <rPh sb="16" eb="19">
      <t>カンリヒョウ</t>
    </rPh>
    <phoneticPr fontId="2"/>
  </si>
  <si>
    <t>更新日</t>
    <rPh sb="0" eb="3">
      <t>コウシンビ</t>
    </rPh>
    <phoneticPr fontId="2"/>
  </si>
  <si>
    <t>進捗サマリー</t>
    <rPh sb="0" eb="2">
      <t>シンチョク</t>
    </rPh>
    <phoneticPr fontId="2"/>
  </si>
  <si>
    <t>全タスク数</t>
    <rPh sb="0" eb="1">
      <t>ゼン</t>
    </rPh>
    <rPh sb="4" eb="5">
      <t>スウ</t>
    </rPh>
    <phoneticPr fontId="2"/>
  </si>
  <si>
    <t>完了数</t>
    <rPh sb="0" eb="3">
      <t>カンリョウスウ</t>
    </rPh>
    <phoneticPr fontId="2"/>
  </si>
  <si>
    <t>進捗率</t>
    <rPh sb="0" eb="3">
      <t>シンチョクリツ</t>
    </rPh>
    <phoneticPr fontId="2"/>
  </si>
  <si>
    <t>タスク一覧</t>
    <rPh sb="3" eb="5">
      <t>イチラン</t>
    </rPh>
    <phoneticPr fontId="2"/>
  </si>
  <si>
    <t>No.</t>
    <phoneticPr fontId="2"/>
  </si>
  <si>
    <t>公開段階　</t>
    <rPh sb="0" eb="4">
      <t>コウカイダンカイ</t>
    </rPh>
    <phoneticPr fontId="2"/>
  </si>
  <si>
    <t>分類</t>
    <rPh sb="0" eb="2">
      <t>ブンルイ</t>
    </rPh>
    <phoneticPr fontId="2"/>
  </si>
  <si>
    <t>対象ページ</t>
    <rPh sb="0" eb="2">
      <t>タイショウ</t>
    </rPh>
    <phoneticPr fontId="2"/>
  </si>
  <si>
    <t>作業内容</t>
    <rPh sb="0" eb="4">
      <t>サギョウナイヨウ</t>
    </rPh>
    <phoneticPr fontId="2"/>
  </si>
  <si>
    <t>状況</t>
    <rPh sb="0" eb="2">
      <t>ジョウキョウ</t>
    </rPh>
    <phoneticPr fontId="2"/>
  </si>
  <si>
    <t>優先度</t>
    <rPh sb="0" eb="3">
      <t>ユウセンド</t>
    </rPh>
    <phoneticPr fontId="2"/>
  </si>
  <si>
    <t>期限</t>
    <rPh sb="0" eb="2">
      <t>キゲン</t>
    </rPh>
    <phoneticPr fontId="2"/>
  </si>
  <si>
    <t>完了日</t>
    <rPh sb="0" eb="3">
      <t>カンリョウビ</t>
    </rPh>
    <phoneticPr fontId="2"/>
  </si>
  <si>
    <t>備考</t>
    <rPh sb="0" eb="2">
      <t>ビコウ</t>
    </rPh>
    <phoneticPr fontId="2"/>
  </si>
  <si>
    <t>第1段階</t>
  </si>
  <si>
    <t>第2段階</t>
    <rPh sb="0" eb="1">
      <t>ダイ</t>
    </rPh>
    <rPh sb="2" eb="4">
      <t>ダンカイ</t>
    </rPh>
    <phoneticPr fontId="2"/>
  </si>
  <si>
    <t>第1段階</t>
    <phoneticPr fontId="2"/>
  </si>
  <si>
    <t>資料作成</t>
    <rPh sb="0" eb="4">
      <t>シリョウサクセイ</t>
    </rPh>
    <phoneticPr fontId="2"/>
  </si>
  <si>
    <t>資料確認</t>
    <rPh sb="0" eb="2">
      <t>シリョウ</t>
    </rPh>
    <rPh sb="2" eb="4">
      <t>カクニン</t>
    </rPh>
    <phoneticPr fontId="2"/>
  </si>
  <si>
    <t>公開準備</t>
    <rPh sb="0" eb="4">
      <t>コウカイジュンビ</t>
    </rPh>
    <phoneticPr fontId="2"/>
  </si>
  <si>
    <t>サイト確認</t>
    <rPh sb="3" eb="5">
      <t>カクニン</t>
    </rPh>
    <phoneticPr fontId="2"/>
  </si>
  <si>
    <t>学習</t>
    <rPh sb="0" eb="2">
      <t>ガクシュウ</t>
    </rPh>
    <phoneticPr fontId="2"/>
  </si>
  <si>
    <t>公開</t>
    <rPh sb="0" eb="2">
      <t>コウカイ</t>
    </rPh>
    <phoneticPr fontId="2"/>
  </si>
  <si>
    <t>全体</t>
    <rPh sb="0" eb="2">
      <t>ゼンタイ</t>
    </rPh>
    <phoneticPr fontId="2"/>
  </si>
  <si>
    <t>Webサイト制作企画書を作成する</t>
    <rPh sb="6" eb="8">
      <t>セイサク</t>
    </rPh>
    <rPh sb="8" eb="11">
      <t>キカクショ</t>
    </rPh>
    <rPh sb="12" eb="14">
      <t>サクセイ</t>
    </rPh>
    <phoneticPr fontId="2"/>
  </si>
  <si>
    <t>制作管理表を作成する</t>
    <rPh sb="0" eb="5">
      <t>セイサクカンリヒョウ</t>
    </rPh>
    <rPh sb="6" eb="8">
      <t>サクセイ</t>
    </rPh>
    <phoneticPr fontId="2"/>
  </si>
  <si>
    <t>Webサイト制作企画書をPDF化して内容を確認する</t>
    <rPh sb="6" eb="8">
      <t>セイサク</t>
    </rPh>
    <rPh sb="8" eb="11">
      <t>キカクショ</t>
    </rPh>
    <rPh sb="15" eb="16">
      <t>カ</t>
    </rPh>
    <rPh sb="18" eb="20">
      <t>ナイヨウ</t>
    </rPh>
    <rPh sb="21" eb="23">
      <t>カクニン</t>
    </rPh>
    <phoneticPr fontId="2"/>
  </si>
  <si>
    <t>GitHubのREADMEを整える</t>
    <rPh sb="14" eb="15">
      <t>トトノ</t>
    </rPh>
    <phoneticPr fontId="2"/>
  </si>
  <si>
    <t>Git・GitHubの基本を学ぶ</t>
    <rPh sb="11" eb="13">
      <t>キホン</t>
    </rPh>
    <rPh sb="14" eb="15">
      <t>マナ</t>
    </rPh>
    <phoneticPr fontId="2"/>
  </si>
  <si>
    <t>完了</t>
  </si>
  <si>
    <t>未着手</t>
    <rPh sb="0" eb="3">
      <t>ミチャクシュ</t>
    </rPh>
    <phoneticPr fontId="2"/>
  </si>
  <si>
    <t>高</t>
    <rPh sb="0" eb="1">
      <t>タカ</t>
    </rPh>
    <phoneticPr fontId="2"/>
  </si>
  <si>
    <t>画像調整</t>
    <rPh sb="0" eb="4">
      <t>ガゾウチョウセイ</t>
    </rPh>
    <phoneticPr fontId="2"/>
  </si>
  <si>
    <t>機能追加</t>
    <rPh sb="0" eb="4">
      <t>キノウツイカ</t>
    </rPh>
    <phoneticPr fontId="2"/>
  </si>
  <si>
    <t>CMS制作</t>
    <rPh sb="3" eb="5">
      <t>セイサク</t>
    </rPh>
    <phoneticPr fontId="2"/>
  </si>
  <si>
    <t>最終確認・公開</t>
    <rPh sb="0" eb="4">
      <t>サイシュウカクニン</t>
    </rPh>
    <rPh sb="5" eb="7">
      <t>コウカイ</t>
    </rPh>
    <phoneticPr fontId="2"/>
  </si>
  <si>
    <t>全ページ</t>
    <rPh sb="0" eb="1">
      <t>ゼン</t>
    </rPh>
    <phoneticPr fontId="2"/>
  </si>
  <si>
    <t>Photoshopで画像やアイコンなどを仕上げる</t>
    <phoneticPr fontId="2"/>
  </si>
  <si>
    <t>JavaScriptの機能を追加する</t>
  </si>
  <si>
    <t>WordPress化し、CMS版を制作する</t>
  </si>
  <si>
    <t>静的サイト版とCMS版を最終確認し、最新版を公開する</t>
  </si>
  <si>
    <t>中</t>
    <rPh sb="0" eb="1">
      <t>チュウ</t>
    </rPh>
    <phoneticPr fontId="2"/>
  </si>
  <si>
    <t>佐賀観光ポートフォリオ素材管理表</t>
    <rPh sb="0" eb="2">
      <t>サガ</t>
    </rPh>
    <rPh sb="2" eb="4">
      <t>カンコウ</t>
    </rPh>
    <rPh sb="11" eb="13">
      <t>ソザイ</t>
    </rPh>
    <rPh sb="13" eb="16">
      <t>カンリヒョウ</t>
    </rPh>
    <phoneticPr fontId="2"/>
  </si>
  <si>
    <t>素材一覧</t>
    <rPh sb="0" eb="4">
      <t>ソザイイチラン</t>
    </rPh>
    <phoneticPr fontId="2"/>
  </si>
  <si>
    <t>使用場所</t>
    <rPh sb="0" eb="4">
      <t>シヨウバショ</t>
    </rPh>
    <phoneticPr fontId="2"/>
  </si>
  <si>
    <t>素材種別</t>
    <rPh sb="0" eb="4">
      <t>ソザイシュベツ</t>
    </rPh>
    <phoneticPr fontId="2"/>
  </si>
  <si>
    <t>ファイル名</t>
    <rPh sb="4" eb="5">
      <t>メイ</t>
    </rPh>
    <phoneticPr fontId="2"/>
  </si>
  <si>
    <t>素材内容</t>
    <rPh sb="0" eb="4">
      <t>ソザイナイヨウ</t>
    </rPh>
    <phoneticPr fontId="2"/>
  </si>
  <si>
    <t>準備状況</t>
    <rPh sb="0" eb="4">
      <t>ジュンビジョウキョウ</t>
    </rPh>
    <phoneticPr fontId="2"/>
  </si>
  <si>
    <t>加工状況</t>
    <rPh sb="0" eb="4">
      <t>カコウジョウキョウ</t>
    </rPh>
    <phoneticPr fontId="2"/>
  </si>
  <si>
    <t>掲載状況</t>
    <rPh sb="0" eb="4">
      <t>ケイサイジョウキョウ</t>
    </rPh>
    <phoneticPr fontId="2"/>
  </si>
  <si>
    <t>出典・入手先</t>
    <rPh sb="0" eb="2">
      <t>シュッテン</t>
    </rPh>
    <rPh sb="3" eb="6">
      <t>ニュウシュサキ</t>
    </rPh>
    <phoneticPr fontId="2"/>
  </si>
  <si>
    <t>GitHub Pagesで静的サイトを公開する</t>
    <rPh sb="13" eb="15">
      <t>セイテキ</t>
    </rPh>
    <rPh sb="19" eb="21">
      <t>コウカイ</t>
    </rPh>
    <phoneticPr fontId="2"/>
  </si>
  <si>
    <t>進行中</t>
  </si>
  <si>
    <t>公開テスト完了。制作継続のため現在は一時非公開。</t>
  </si>
  <si>
    <t>ハンバーガーメニュー、ページ上部へ戻る、スクロール表示、見どころ絞り込み、グルメ検索を実装。その他の機能追加は後日再開予定。</t>
    <phoneticPr fontId="2"/>
  </si>
  <si>
    <t>HTML、CSS、JavaScript、画像を含めてサイト全体を確認する</t>
    <rPh sb="20" eb="22">
      <t>ガゾウ</t>
    </rPh>
    <rPh sb="23" eb="24">
      <t>フク</t>
    </rPh>
    <rPh sb="29" eb="31">
      <t>ゼンタイ</t>
    </rPh>
    <rPh sb="32" eb="34">
      <t>カクニン</t>
    </rPh>
    <phoneticPr fontId="2"/>
  </si>
  <si>
    <t>トップページ</t>
  </si>
  <si>
    <t>画像</t>
  </si>
  <si>
    <t>imarin-beach.JPG</t>
  </si>
  <si>
    <t>イマリンビーチ</t>
    <phoneticPr fontId="2"/>
  </si>
  <si>
    <t>準備済み</t>
  </si>
  <si>
    <t>未加工</t>
  </si>
  <si>
    <t>掲載済み</t>
  </si>
  <si>
    <t>ぱくたそ</t>
    <phoneticPr fontId="2"/>
  </si>
  <si>
    <t>imari-river.JPG</t>
    <phoneticPr fontId="2"/>
  </si>
  <si>
    <t>伊万里川</t>
    <rPh sb="0" eb="4">
      <t>イマリガワ</t>
    </rPh>
    <phoneticPr fontId="2"/>
  </si>
  <si>
    <t>okawachiyama.JPG</t>
    <phoneticPr fontId="2"/>
  </si>
  <si>
    <t>大川内山</t>
    <rPh sb="0" eb="4">
      <t>オオカワウチヤマ</t>
    </rPh>
    <phoneticPr fontId="2"/>
  </si>
  <si>
    <t>未掲載</t>
  </si>
  <si>
    <t>モデルコース</t>
  </si>
  <si>
    <t>画像</t>
    <phoneticPr fontId="2"/>
  </si>
  <si>
    <t>yobuko-squid.JPG</t>
  </si>
  <si>
    <t>呼子のイカ</t>
    <rPh sb="0" eb="2">
      <t>ヨブコ</t>
    </rPh>
    <phoneticPr fontId="2"/>
  </si>
  <si>
    <t>saga-beef.JPG</t>
  </si>
  <si>
    <t>ureshino-onsen-yudofu.JPG</t>
  </si>
  <si>
    <t>佐賀牛</t>
    <rPh sb="0" eb="3">
      <t>サガギュウ</t>
    </rPh>
    <phoneticPr fontId="2"/>
  </si>
  <si>
    <t>嬉野温泉湯どうふ</t>
    <rPh sb="0" eb="4">
      <t>ウレシノオンセン</t>
    </rPh>
    <rPh sb="4" eb="5">
      <t>ユ</t>
    </rPh>
    <phoneticPr fontId="2"/>
  </si>
  <si>
    <t>ureshino-siebold-bath.JPG</t>
  </si>
  <si>
    <t>嬉野温泉・シーボルトの湯</t>
    <rPh sb="0" eb="2">
      <t>ウレシノ</t>
    </rPh>
    <rPh sb="2" eb="4">
      <t>オンセン</t>
    </rPh>
    <rPh sb="11" eb="12">
      <t>ユ</t>
    </rPh>
    <phoneticPr fontId="2"/>
  </si>
  <si>
    <t>ureshino-onsen-street.JPG</t>
    <phoneticPr fontId="2"/>
  </si>
  <si>
    <t>ureshino-siebold-footbath.JPG</t>
  </si>
  <si>
    <t>嬉野温泉街</t>
    <rPh sb="0" eb="2">
      <t>ウレシノ</t>
    </rPh>
    <rPh sb="2" eb="5">
      <t>オンセンガイ</t>
    </rPh>
    <phoneticPr fontId="2"/>
  </si>
  <si>
    <t>嬉野温泉・シーボルトのあし湯</t>
    <rPh sb="0" eb="4">
      <t>ウレシノオンセン</t>
    </rPh>
    <rPh sb="13" eb="14">
      <t>ユ</t>
    </rPh>
    <phoneticPr fontId="2"/>
  </si>
  <si>
    <t>okawachiyama-street.JPG</t>
    <phoneticPr fontId="2"/>
  </si>
  <si>
    <t>aioi-bridge.JPG</t>
  </si>
  <si>
    <t>koimari-park.JPG</t>
  </si>
  <si>
    <t>大川内山・石畳の街並み</t>
    <rPh sb="0" eb="4">
      <t>オオカワウチヤマ</t>
    </rPh>
    <rPh sb="5" eb="7">
      <t>イシダタミ</t>
    </rPh>
    <rPh sb="8" eb="10">
      <t>マチナ</t>
    </rPh>
    <phoneticPr fontId="2"/>
  </si>
  <si>
    <t>相生橋</t>
    <rPh sb="0" eb="3">
      <t>アイオイバシ</t>
    </rPh>
    <phoneticPr fontId="2"/>
  </si>
  <si>
    <t>古伊万里公園</t>
    <rPh sb="0" eb="6">
      <t>コイマリコウエン</t>
    </rPh>
    <phoneticPr fontId="2"/>
  </si>
  <si>
    <t>準備中</t>
  </si>
  <si>
    <t>タイル型メニュー・SNS画像・コース内スポット</t>
    <phoneticPr fontId="2"/>
  </si>
  <si>
    <t>コース内スポット</t>
    <rPh sb="3" eb="4">
      <t>ナイ</t>
    </rPh>
    <phoneticPr fontId="2"/>
  </si>
  <si>
    <t>ureshino-onsen-aerial.JPG</t>
  </si>
  <si>
    <t>旅の締めくくり</t>
    <rPh sb="0" eb="1">
      <t>タビ</t>
    </rPh>
    <rPh sb="2" eb="3">
      <t>シ</t>
    </rPh>
    <phoneticPr fontId="2"/>
  </si>
  <si>
    <t>takeo-onsen-station.JPG</t>
    <phoneticPr fontId="2"/>
  </si>
  <si>
    <t>hamanoura-terraced-fields-sunset.JPG</t>
  </si>
  <si>
    <t>武雄温泉駅</t>
    <rPh sb="0" eb="5">
      <t>タケオオンセンエキ</t>
    </rPh>
    <phoneticPr fontId="2"/>
  </si>
  <si>
    <t>浜野浦の棚田の夕日</t>
    <rPh sb="0" eb="3">
      <t>ハマノウラ</t>
    </rPh>
    <rPh sb="4" eb="6">
      <t>タナダ</t>
    </rPh>
    <rPh sb="7" eb="9">
      <t>ユウヒ</t>
    </rPh>
    <phoneticPr fontId="2"/>
  </si>
  <si>
    <t>タイル型メニュー・コース内スポット・おすすめ・見どころカード</t>
    <phoneticPr fontId="2"/>
  </si>
  <si>
    <t>TOPページ内で2か所と見どころページでも使用</t>
    <phoneticPr fontId="2"/>
  </si>
  <si>
    <t>モデルコース・見どころページでも使用</t>
    <rPh sb="7" eb="8">
      <t>ミ</t>
    </rPh>
    <rPh sb="16" eb="18">
      <t>シヨウ</t>
    </rPh>
    <phoneticPr fontId="2"/>
  </si>
  <si>
    <t>見どころページでも使用</t>
    <phoneticPr fontId="2"/>
  </si>
  <si>
    <t>佐賀の見どころ</t>
  </si>
  <si>
    <t>見どころカード</t>
    <rPh sb="0" eb="1">
      <t>ミ</t>
    </rPh>
    <phoneticPr fontId="2"/>
  </si>
  <si>
    <t>nagoya-castle.JPG</t>
    <phoneticPr fontId="2"/>
  </si>
  <si>
    <t>名護屋城跡</t>
    <rPh sb="0" eb="5">
      <t>ナゴヤジョウアト</t>
    </rPh>
    <phoneticPr fontId="2"/>
  </si>
  <si>
    <t>saga-castle-honmaru-history-museum.JPG</t>
  </si>
  <si>
    <t>taku-seibyo.JPG</t>
  </si>
  <si>
    <t>karatsu-castle-town.JPG</t>
  </si>
  <si>
    <t>佐賀城本丸歴史館</t>
    <rPh sb="0" eb="8">
      <t>サガジョウホンマルレキシカン</t>
    </rPh>
    <phoneticPr fontId="2"/>
  </si>
  <si>
    <t>多久聖廟</t>
    <rPh sb="0" eb="4">
      <t>タクセイビョウ</t>
    </rPh>
    <phoneticPr fontId="2"/>
  </si>
  <si>
    <t>唐津城下町</t>
    <rPh sb="0" eb="5">
      <t>カラツジョウカマチ</t>
    </rPh>
    <phoneticPr fontId="2"/>
  </si>
  <si>
    <t>yoshinogari-historical-park.JPG</t>
  </si>
  <si>
    <t>tozan-shrine.JPG</t>
  </si>
  <si>
    <t>niji-no-matsubara.JPG</t>
  </si>
  <si>
    <t>吉野ヶ里歴史公園</t>
    <rPh sb="0" eb="8">
      <t>ヨシノガリレキシコウエン</t>
    </rPh>
    <phoneticPr fontId="2"/>
  </si>
  <si>
    <t>陶山神社</t>
    <rPh sb="0" eb="4">
      <t>スエヤマジンジャ</t>
    </rPh>
    <phoneticPr fontId="2"/>
  </si>
  <si>
    <t>虹の松原</t>
    <rPh sb="0" eb="1">
      <t>ニジ</t>
    </rPh>
    <rPh sb="2" eb="4">
      <t>マツバラ</t>
    </rPh>
    <phoneticPr fontId="2"/>
  </si>
  <si>
    <t>タイル型メニュー・コース内スポット・グルメカード</t>
    <phoneticPr fontId="2"/>
  </si>
  <si>
    <t>TOPページ内で2か所とグルメページでも使用</t>
    <phoneticPr fontId="2"/>
  </si>
  <si>
    <t>モデルコース・グルメページでも使用</t>
    <rPh sb="15" eb="17">
      <t>シヨウ</t>
    </rPh>
    <phoneticPr fontId="2"/>
  </si>
  <si>
    <t>グルメ</t>
  </si>
  <si>
    <t>グルメ紹介</t>
    <rPh sb="3" eb="5">
      <t>ショウカイ</t>
    </rPh>
    <phoneticPr fontId="2"/>
  </si>
  <si>
    <t>未加工</t>
    <phoneticPr fontId="2"/>
  </si>
  <si>
    <t>sicilian-rice.JPG</t>
  </si>
  <si>
    <t>シシリアンライス</t>
    <phoneticPr fontId="2"/>
  </si>
  <si>
    <t>takezaki-crab.JPG</t>
    <phoneticPr fontId="2"/>
  </si>
  <si>
    <t>竹崎カニ</t>
    <rPh sb="0" eb="2">
      <t>タケサキ</t>
    </rPh>
    <phoneticPr fontId="2"/>
  </si>
  <si>
    <t>saga-ramen.JPG</t>
  </si>
  <si>
    <t>佐賀ラーメン</t>
    <rPh sb="0" eb="2">
      <t>サガ</t>
    </rPh>
    <phoneticPr fontId="2"/>
  </si>
  <si>
    <t>marubouro.JPG</t>
  </si>
  <si>
    <t>丸ぼうろ</t>
    <rPh sb="0" eb="1">
      <t>マル</t>
    </rPh>
    <phoneticPr fontId="2"/>
  </si>
  <si>
    <t>温泉</t>
  </si>
  <si>
    <t>温泉紹介カード</t>
    <rPh sb="0" eb="4">
      <t>オンセンショウカイ</t>
    </rPh>
    <phoneticPr fontId="2"/>
  </si>
  <si>
    <t>takeo-onsen.JPG</t>
  </si>
  <si>
    <t>furuyu-onsen.JPG</t>
  </si>
  <si>
    <t>古湯温泉</t>
    <rPh sb="0" eb="2">
      <t>フルユ</t>
    </rPh>
    <rPh sb="2" eb="4">
      <t>オンセン</t>
    </rPh>
    <phoneticPr fontId="2"/>
  </si>
  <si>
    <t>chikugo-river-lift-bridge.JPG</t>
  </si>
  <si>
    <t>筑後川昇開橋</t>
    <rPh sb="0" eb="3">
      <t>チクゴガワ</t>
    </rPh>
    <rPh sb="3" eb="5">
      <t>ショウカイ</t>
    </rPh>
    <rPh sb="5" eb="6">
      <t>バシ</t>
    </rPh>
    <phoneticPr fontId="2"/>
  </si>
  <si>
    <t>About</t>
  </si>
  <si>
    <t>コンセプト画像</t>
    <rPh sb="5" eb="7">
      <t>ガゾウ</t>
    </rPh>
    <phoneticPr fontId="2"/>
  </si>
  <si>
    <t>yutoku-inari-shrine.JPG</t>
  </si>
  <si>
    <t>佐賀平野を飛ぶバルーン</t>
    <rPh sb="0" eb="4">
      <t>サガヘイヤ</t>
    </rPh>
    <rPh sb="5" eb="6">
      <t>ト</t>
    </rPh>
    <phoneticPr fontId="2"/>
  </si>
  <si>
    <t>祐徳稲荷神社</t>
    <rPh sb="0" eb="6">
      <t>ユウトクイナリジンジャ</t>
    </rPh>
    <phoneticPr fontId="2"/>
  </si>
  <si>
    <t>gyoza-kaikan.JPG</t>
  </si>
  <si>
    <t>餃子会館</t>
    <rPh sb="0" eb="4">
      <t>ギョウザカイカン</t>
    </rPh>
    <phoneticPr fontId="2"/>
  </si>
  <si>
    <t>タイル型メニュー</t>
    <phoneticPr fontId="2"/>
  </si>
  <si>
    <t>タイル型メニュー</t>
    <rPh sb="3" eb="4">
      <t>ガタ</t>
    </rPh>
    <phoneticPr fontId="2"/>
  </si>
  <si>
    <t>タイル型メニュー・見どころカード</t>
    <rPh sb="9" eb="10">
      <t>ミ</t>
    </rPh>
    <phoneticPr fontId="2"/>
  </si>
  <si>
    <t>タイル型メニュー・おすすめ</t>
    <phoneticPr fontId="2"/>
  </si>
  <si>
    <t>タイル型メニュー</t>
    <phoneticPr fontId="2"/>
  </si>
  <si>
    <t>モデルコース用タイル</t>
    <rPh sb="6" eb="7">
      <t>ヨウ</t>
    </rPh>
    <phoneticPr fontId="2"/>
  </si>
  <si>
    <t>モデルコースでも使用</t>
    <rPh sb="8" eb="10">
      <t>シヨウ</t>
    </rPh>
    <phoneticPr fontId="2"/>
  </si>
  <si>
    <t>嬉野温泉街　上空</t>
    <rPh sb="0" eb="4">
      <t>ウレシノオンセン</t>
    </rPh>
    <rPh sb="4" eb="5">
      <t>ガイ</t>
    </rPh>
    <rPh sb="6" eb="8">
      <t>ジョウクウ</t>
    </rPh>
    <phoneticPr fontId="2"/>
  </si>
  <si>
    <t>武雄温泉</t>
    <rPh sb="0" eb="4">
      <t>タケオオンセン</t>
    </rPh>
    <phoneticPr fontId="2"/>
  </si>
  <si>
    <t>saga-balloon.JPG</t>
    <phoneticPr fontId="2"/>
  </si>
  <si>
    <t>サイト紹介画像</t>
    <rPh sb="3" eb="5">
      <t>ショウカイ</t>
    </rPh>
    <rPh sb="5" eb="7">
      <t>ガゾウ</t>
    </rPh>
    <phoneticPr fontId="2"/>
  </si>
  <si>
    <t>photoAC</t>
  </si>
  <si>
    <t>トップページのモデルコース用タイルに掲載</t>
    <phoneticPr fontId="2"/>
  </si>
  <si>
    <t>モデルコースのコース内スポットに掲載</t>
    <phoneticPr fontId="2"/>
  </si>
  <si>
    <t>モデルコースの旅の締めくくりに掲載</t>
    <phoneticPr fontId="2"/>
  </si>
  <si>
    <t>Aboutページのコンセプト画像に掲載</t>
    <phoneticPr fontId="2"/>
  </si>
  <si>
    <t>Aboutページのサイト紹介画像に掲載</t>
    <phoneticPr fontId="2"/>
  </si>
  <si>
    <t>arita-yaki-curry.JPG</t>
    <phoneticPr fontId="2"/>
  </si>
  <si>
    <t>suko-sushi.JPG</t>
    <phoneticPr fontId="2"/>
  </si>
  <si>
    <t>saga-nishiki.JPG</t>
  </si>
  <si>
    <t>有田焼カレー</t>
    <rPh sb="0" eb="3">
      <t>アリタヤキ</t>
    </rPh>
    <phoneticPr fontId="2"/>
  </si>
  <si>
    <t>須古寿司</t>
    <rPh sb="0" eb="4">
      <t>スコスシ</t>
    </rPh>
    <phoneticPr fontId="2"/>
  </si>
  <si>
    <t>佐賀錦</t>
    <rPh sb="0" eb="3">
      <t>サガニシキ</t>
    </rPh>
    <phoneticPr fontId="2"/>
  </si>
  <si>
    <t>photoAC</t>
    <phoneticPr fontId="2"/>
  </si>
  <si>
    <t>写真の準備後に掲載予定</t>
    <phoneticPr fontId="2"/>
  </si>
  <si>
    <t>全ページ</t>
  </si>
  <si>
    <t>全ページ</t>
    <phoneticPr fontId="2"/>
  </si>
  <si>
    <t>メインビジュアル</t>
    <phoneticPr fontId="2"/>
  </si>
  <si>
    <t>背景画像</t>
  </si>
  <si>
    <t>背景画像</t>
    <phoneticPr fontId="2"/>
  </si>
  <si>
    <t>ヘッダー</t>
    <phoneticPr fontId="2"/>
  </si>
  <si>
    <t>ロゴ</t>
  </si>
  <si>
    <t>タイル・ページ上部</t>
    <rPh sb="7" eb="9">
      <t>ジョウブ</t>
    </rPh>
    <phoneticPr fontId="2"/>
  </si>
  <si>
    <t>アイコン</t>
  </si>
  <si>
    <t>アイコン</t>
    <phoneticPr fontId="2"/>
  </si>
  <si>
    <t>ページ上部</t>
    <rPh sb="3" eb="5">
      <t>ジョウブ</t>
    </rPh>
    <phoneticPr fontId="2"/>
  </si>
  <si>
    <t>ブラウザータブ</t>
    <phoneticPr fontId="2"/>
  </si>
  <si>
    <t>saga-hero-background-pc.JPG</t>
    <phoneticPr fontId="2"/>
  </si>
  <si>
    <t>saga-hero-background-mobile.JPG</t>
    <phoneticPr fontId="2"/>
  </si>
  <si>
    <t>saga-title-logo.PNG</t>
    <phoneticPr fontId="2"/>
  </si>
  <si>
    <t>icon-course.PNG</t>
  </si>
  <si>
    <t>icon-spots.PNG</t>
    <phoneticPr fontId="2"/>
  </si>
  <si>
    <t>icon-gourmet.PNG</t>
    <phoneticPr fontId="2"/>
  </si>
  <si>
    <t>icon-onsen.PNG</t>
    <phoneticPr fontId="2"/>
  </si>
  <si>
    <t>icon-about.PNG</t>
    <phoneticPr fontId="2"/>
  </si>
  <si>
    <t>favicon.PNG</t>
    <phoneticPr fontId="2"/>
  </si>
  <si>
    <t>PC用背景</t>
    <rPh sb="2" eb="3">
      <t>ヨウ</t>
    </rPh>
    <rPh sb="3" eb="5">
      <t>ハイケイ</t>
    </rPh>
    <phoneticPr fontId="2"/>
  </si>
  <si>
    <t>スマートフォン表示用背景</t>
    <rPh sb="7" eb="9">
      <t>ヒョウジ</t>
    </rPh>
    <rPh sb="9" eb="10">
      <t>ヨウ</t>
    </rPh>
    <rPh sb="10" eb="12">
      <t>ハイケイ</t>
    </rPh>
    <phoneticPr fontId="2"/>
  </si>
  <si>
    <t>タイトルロゴ</t>
    <phoneticPr fontId="2"/>
  </si>
  <si>
    <t>モデルコースアイコン</t>
    <phoneticPr fontId="2"/>
  </si>
  <si>
    <t>佐賀の見どころアイコン</t>
    <rPh sb="0" eb="2">
      <t>サガ</t>
    </rPh>
    <rPh sb="3" eb="4">
      <t>ミ</t>
    </rPh>
    <phoneticPr fontId="2"/>
  </si>
  <si>
    <t>グルメアイコン</t>
    <phoneticPr fontId="2"/>
  </si>
  <si>
    <t>温泉アイコン</t>
    <rPh sb="0" eb="2">
      <t>オンセン</t>
    </rPh>
    <phoneticPr fontId="2"/>
  </si>
  <si>
    <t>Aboutアイコン</t>
    <phoneticPr fontId="2"/>
  </si>
  <si>
    <t>ファビコン</t>
    <phoneticPr fontId="2"/>
  </si>
  <si>
    <t>準備済み</t>
    <phoneticPr fontId="2"/>
  </si>
  <si>
    <t>加工済み</t>
  </si>
  <si>
    <t>自作</t>
    <rPh sb="0" eb="2">
      <t>ジサク</t>
    </rPh>
    <phoneticPr fontId="2"/>
  </si>
  <si>
    <t>Photoshopで制作</t>
    <phoneticPr fontId="2"/>
  </si>
  <si>
    <t>タイル型メニュー・SNS画像</t>
    <phoneticPr fontId="2"/>
  </si>
  <si>
    <t>imarin-beach-edit.JPG</t>
    <phoneticPr fontId="2"/>
  </si>
  <si>
    <t>yobuko-squid-edit.JPG</t>
    <phoneticPr fontId="2"/>
  </si>
  <si>
    <t>saga-portfolio-image.JPG</t>
    <phoneticPr fontId="2"/>
  </si>
  <si>
    <t>イマリンビーチの補正版</t>
    <rPh sb="8" eb="11">
      <t>ホセイバン</t>
    </rPh>
    <phoneticPr fontId="2"/>
  </si>
  <si>
    <t>呼子のイカ補正版</t>
    <rPh sb="0" eb="2">
      <t>ヨブコ</t>
    </rPh>
    <rPh sb="5" eb="8">
      <t>ホセイバン</t>
    </rPh>
    <phoneticPr fontId="2"/>
  </si>
  <si>
    <t>PC・スマートフォン表示の紹介画像</t>
    <phoneticPr fontId="2"/>
  </si>
  <si>
    <t>ぱくたそ</t>
    <phoneticPr fontId="2"/>
  </si>
  <si>
    <t>Photoshopで色調補正</t>
  </si>
  <si>
    <t>Photoshopで制作。ポートフォリオへの掲載予定</t>
    <phoneticPr fontId="2"/>
  </si>
  <si>
    <t>見どころカード</t>
    <phoneticPr fontId="2"/>
  </si>
  <si>
    <t>グルメカード</t>
    <phoneticPr fontId="2"/>
  </si>
  <si>
    <t>素材URL</t>
    <rPh sb="0" eb="2">
      <t>ソザイ</t>
    </rPh>
    <phoneticPr fontId="2"/>
  </si>
  <si>
    <t>ライセンス確認日</t>
    <rPh sb="5" eb="8">
      <t>カクニンビ</t>
    </rPh>
    <phoneticPr fontId="2"/>
  </si>
  <si>
    <t>ライセンス・利用条件メモ</t>
  </si>
  <si>
    <t>自作素材のため外部ライセンスなし</t>
    <rPh sb="0" eb="4">
      <t>ジサクソザイ</t>
    </rPh>
    <rPh sb="7" eb="9">
      <t>ガイブ</t>
    </rPh>
    <phoneticPr fontId="2"/>
  </si>
  <si>
    <t>参照番号</t>
    <rPh sb="0" eb="4">
      <t>サンショウバンゴウ</t>
    </rPh>
    <phoneticPr fontId="2"/>
  </si>
  <si>
    <t>素材サイト</t>
    <rPh sb="0" eb="2">
      <t>ソザイ</t>
    </rPh>
    <phoneticPr fontId="2"/>
  </si>
  <si>
    <t>利用規約URL</t>
    <rPh sb="0" eb="4">
      <t>リヨウキヤク</t>
    </rPh>
    <phoneticPr fontId="2"/>
  </si>
  <si>
    <t>確認日</t>
    <rPh sb="0" eb="3">
      <t>カクニンビ</t>
    </rPh>
    <phoneticPr fontId="2"/>
  </si>
  <si>
    <t>利用条件メモ</t>
    <rPh sb="0" eb="4">
      <t>リヨウジョウケン</t>
    </rPh>
    <phoneticPr fontId="2"/>
  </si>
  <si>
    <t>※1</t>
    <phoneticPr fontId="2"/>
  </si>
  <si>
    <t>https://www.pakutaso.com/userpolicy.html</t>
    <phoneticPr fontId="2"/>
  </si>
  <si>
    <t>公式利用規約を確認。ポートフォリオWebサイト内で使用し、素材データ自体の再配布・販売は行わない。</t>
    <phoneticPr fontId="2"/>
  </si>
  <si>
    <t>※2</t>
    <phoneticPr fontId="2"/>
  </si>
  <si>
    <t>https://www.photo-ac.com/main/terms</t>
    <phoneticPr fontId="2"/>
  </si>
  <si>
    <t>※1を参照</t>
  </si>
  <si>
    <t>※1を参照</t>
    <phoneticPr fontId="2"/>
  </si>
  <si>
    <t>※2を参照</t>
  </si>
  <si>
    <t>※2を参照</t>
    <phoneticPr fontId="2"/>
  </si>
  <si>
    <t>※素材の利用条件については、「ライセンス情報」シートをご確認ください。</t>
    <phoneticPr fontId="2"/>
  </si>
  <si>
    <t>全6ページのPC・スマートフォン表示、リンク、HTML・CSS・JavaScriptの動作確認は完了。未準備のグルメ画像3枚と画像の軽量化は今後対応予定。</t>
    <phoneticPr fontId="2"/>
  </si>
  <si>
    <t>※外部素材のURLは「ライセンス情報」シートを参照。自作素材は空欄。</t>
  </si>
  <si>
    <t>※確認日は「ライセンス情報」シートを参照。自作素材は空欄。</t>
  </si>
  <si>
    <t>背景画像、タイトルロゴ、アイコン5種、ファビコン、写真補正、ポートフォリオ紹介画像、OGP画像、写真合成、色重ね画像、背景パターンを制作。PSD形式とWeb掲載用画像を保存。</t>
    <phoneticPr fontId="2"/>
  </si>
  <si>
    <t>SNS共有画像</t>
    <rPh sb="3" eb="5">
      <t>キョウユウ</t>
    </rPh>
    <rPh sb="5" eb="7">
      <t>ガゾウ</t>
    </rPh>
    <phoneticPr fontId="2"/>
  </si>
  <si>
    <t>saga-small-trip-ogp.JPG</t>
    <phoneticPr fontId="2"/>
  </si>
  <si>
    <t>SNS共有用OGP画像</t>
    <phoneticPr fontId="2"/>
  </si>
  <si>
    <t>掲載済み</t>
    <phoneticPr fontId="2"/>
  </si>
  <si>
    <t>自作（使用写真：ぱくたそ）</t>
    <phoneticPr fontId="2"/>
  </si>
  <si>
    <t>Photoshopで制作。全6ページにOGP設定を追加</t>
  </si>
  <si>
    <t>使用写真は※1を参照</t>
  </si>
  <si>
    <t>学習用</t>
  </si>
  <si>
    <t>学習用</t>
    <phoneticPr fontId="2"/>
  </si>
  <si>
    <t>Photoshop制作</t>
  </si>
  <si>
    <t>画像</t>
    <phoneticPr fontId="2"/>
  </si>
  <si>
    <t>saga-photo-composite.JPG</t>
    <phoneticPr fontId="2"/>
  </si>
  <si>
    <t>伊万里ビーチとバルーンの合成画像</t>
  </si>
  <si>
    <t>未掲載</t>
    <phoneticPr fontId="2"/>
  </si>
  <si>
    <t>ぱくたそ・photoAC</t>
    <phoneticPr fontId="2"/>
  </si>
  <si>
    <t>複数のバルーンを切り抜き、伊万里ビーチの写真に合成</t>
  </si>
  <si>
    <t>※1・※2を参照</t>
    <phoneticPr fontId="2"/>
  </si>
  <si>
    <t>saga-photo-color-overlay.JPG</t>
  </si>
  <si>
    <t>写真への色重ねと文字配置</t>
  </si>
  <si>
    <t>合成画像に緑色を重ね、タイトルと説明文を配置</t>
  </si>
  <si>
    <t>saga-background-pattern.JPG</t>
    <phoneticPr fontId="2"/>
  </si>
  <si>
    <t>葉のモチーフを使用した背景パターン</t>
    <phoneticPr fontId="2"/>
  </si>
  <si>
    <t>自作</t>
    <rPh sb="0" eb="2">
      <t>ジサク</t>
    </rPh>
    <phoneticPr fontId="2"/>
  </si>
  <si>
    <t>Photoshopで葉と丸のモチーフを作り、繰り返しパターンとして制作</t>
  </si>
  <si>
    <t>自作素材のため外部ライセンスなし</t>
  </si>
  <si>
    <t>温泉紹介</t>
    <rPh sb="0" eb="4">
      <t>オンセンショウカイ</t>
    </rPh>
    <phoneticPr fontId="2"/>
  </si>
  <si>
    <t>ureshino-siebold-bath-edit.JPG</t>
    <phoneticPr fontId="2"/>
  </si>
  <si>
    <t>嬉野温泉・シーボルトの湯の補正版</t>
  </si>
  <si>
    <t>Photoshopで明るさ・色味を補正し、元画像から差し替え</t>
    <phoneticPr fontId="2"/>
  </si>
  <si>
    <t>※2を参照</t>
    <phoneticPr fontId="2"/>
  </si>
  <si>
    <t>photoAC</t>
    <phoneticPr fontId="2"/>
  </si>
  <si>
    <t>補正版のureshino-siebold-bath-edit.JPGへ差し替え済み</t>
    <rPh sb="0" eb="2">
      <t>ホセイ</t>
    </rPh>
    <rPh sb="2" eb="3">
      <t>バン</t>
    </rPh>
    <rPh sb="35" eb="36">
      <t>サ</t>
    </rPh>
    <rPh sb="37" eb="38">
      <t>カ</t>
    </rPh>
    <rPh sb="39" eb="40">
      <t>ズ</t>
    </rPh>
    <phoneticPr fontId="2"/>
  </si>
  <si>
    <t>自作</t>
    <rPh sb="0" eb="2">
      <t>ジサク</t>
    </rPh>
    <phoneticPr fontId="2"/>
  </si>
  <si>
    <t>その他のおすすめグルメ</t>
    <rPh sb="2" eb="3">
      <t>ホカ</t>
    </rPh>
    <phoneticPr fontId="2"/>
  </si>
  <si>
    <t>画像</t>
    <phoneticPr fontId="2"/>
  </si>
  <si>
    <t>drive-in-tori-torimeshi.JPG</t>
  </si>
  <si>
    <t>ドライブイン鳥のとりめし</t>
    <phoneticPr fontId="2"/>
  </si>
  <si>
    <t>※2を参照</t>
    <phoneticPr fontId="2"/>
  </si>
  <si>
    <t>ide-chanpon.JPG</t>
  </si>
  <si>
    <t>井手ちゃんぽん</t>
    <phoneticPr fontId="2"/>
  </si>
  <si>
    <t>その他のおすすめグルメ</t>
    <rPh sb="2" eb="3">
      <t>ホカ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</si>
</sst>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u/>
      <sz val="11"/>
      <color theme="10"/>
      <name val="游ゴシック"/>
      <family val="2"/>
      <charset val="128"/>
      <scheme val="minor"/>
    </font>
    <font>
      <sz val="9"/>
      <color theme="0" tint="-0.499984740745262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14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1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2">
      <alignment vertical="center"/>
    </xf>
    <xf numFmtId="14" fontId="0" fillId="0" borderId="0" xfId="0" applyNumberFormat="1">
      <alignment vertical="center"/>
    </xf>
    <xf numFmtId="0" fontId="10" fillId="0" borderId="0" xfId="0" applyFont="1" applyAlignment="1">
      <alignment vertical="center" wrapText="1"/>
    </xf>
  </cellXfs>
  <cellStyles count="3">
    <cellStyle name="パーセント" xfId="1" builtinId="5"/>
    <cellStyle name="ハイパーリンク" xfId="2" builtinId="8"/>
    <cellStyle name="標準" xfId="0" builtinId="0"/>
  </cellStyles>
  <dxfs count="3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746EF6-A68A-45AA-AB1C-9DEFD8F177FB}" name="テーブル1" displayName="テーブル1" ref="A8:J19" totalsRowShown="0" headerRowDxfId="34" dataDxfId="33">
  <autoFilter ref="A8:J19" xr:uid="{45746EF6-A68A-45AA-AB1C-9DEFD8F177FB}"/>
  <tableColumns count="10">
    <tableColumn id="1" xr3:uid="{0FC2ED50-DED0-452D-8651-DFEEA5362CCC}" name="No." dataDxfId="32"/>
    <tableColumn id="2" xr3:uid="{B004CBA6-95FD-4E4A-A3E6-402761BF9C72}" name="公開段階　" dataDxfId="31"/>
    <tableColumn id="3" xr3:uid="{FCE9EC5D-92C5-4A3D-9681-1FB0E660864E}" name="分類" dataDxfId="30"/>
    <tableColumn id="4" xr3:uid="{E7F1C059-5D29-4EBF-9210-A2C29E8D3479}" name="対象ページ" dataDxfId="29"/>
    <tableColumn id="5" xr3:uid="{1B503DAA-F560-4720-9589-DF77055BC3C2}" name="作業内容" dataDxfId="28"/>
    <tableColumn id="6" xr3:uid="{79045720-24B4-4F4A-A27C-E7EA47907295}" name="状況" dataDxfId="27"/>
    <tableColumn id="7" xr3:uid="{C5197FD5-F06F-4FC6-8A53-3CF7D71D9B4B}" name="優先度" dataDxfId="26"/>
    <tableColumn id="8" xr3:uid="{BF7CAD6E-7D39-4261-B83D-B6D0E5FED90F}" name="期限" dataDxfId="25"/>
    <tableColumn id="9" xr3:uid="{82358B19-5A5A-4B33-9E26-92CF4591F4F3}" name="完了日" dataDxfId="24"/>
    <tableColumn id="10" xr3:uid="{5350E184-4ED2-466B-9154-DD78A175EF90}" name="備考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6C232F-F352-4C04-8BE9-61C2F77D47FF}" name="テーブル2" displayName="テーブル2" ref="A5:N59" totalsRowShown="0" headerRowDxfId="22" dataDxfId="21">
  <autoFilter ref="A5:N59" xr:uid="{546C232F-F352-4C04-8BE9-61C2F77D47FF}"/>
  <tableColumns count="14">
    <tableColumn id="1" xr3:uid="{3AFE5A2E-5BD4-41A6-B804-8B249DFE51BF}" name="No." dataDxfId="20"/>
    <tableColumn id="2" xr3:uid="{BB467987-83AD-4E6C-94CE-359A061C2269}" name="対象ページ" dataDxfId="19"/>
    <tableColumn id="3" xr3:uid="{91BA6E35-CF34-44CE-A1CD-924D988B374F}" name="使用場所" dataDxfId="18"/>
    <tableColumn id="4" xr3:uid="{1284F502-B299-4748-9A33-EEF78A96B113}" name="素材種別" dataDxfId="17"/>
    <tableColumn id="5" xr3:uid="{AE73E1C8-AD9C-41F2-B73D-E524973D4844}" name="ファイル名"/>
    <tableColumn id="6" xr3:uid="{5F6BCA63-3B29-42F8-A5BF-B347F5CF904A}" name="素材内容" dataDxfId="16"/>
    <tableColumn id="7" xr3:uid="{99925BCF-9D8B-4300-BF92-966364F1E7F8}" name="準備状況" dataDxfId="15"/>
    <tableColumn id="8" xr3:uid="{B38E0B3B-668D-4DFF-BCEA-20D28022E34A}" name="加工状況" dataDxfId="14"/>
    <tableColumn id="9" xr3:uid="{DB88FA17-092A-49F9-A686-A3FE1483036F}" name="掲載状況" dataDxfId="13"/>
    <tableColumn id="10" xr3:uid="{613559A8-2FBF-4036-A4FF-18B4B1B3E2E8}" name="出典・入手先" dataDxfId="12"/>
    <tableColumn id="11" xr3:uid="{1C562C7E-EF5E-4300-B623-7ECCBAD59A8B}" name="備考" dataDxfId="11"/>
    <tableColumn id="12" xr3:uid="{6146C19A-7CCE-4E99-AF66-37C19501A5C9}" name="素材URL" dataDxfId="10"/>
    <tableColumn id="13" xr3:uid="{8260A577-A25F-4194-90B0-6F9C2852CEA1}" name="ライセンス確認日" dataDxfId="9"/>
    <tableColumn id="14" xr3:uid="{F05CEE4B-E2AD-4B82-849C-4779F314AE74}" name="ライセンス・利用条件メモ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hoto-ac.com/main/terms" TargetMode="External"/><Relationship Id="rId1" Type="http://schemas.openxmlformats.org/officeDocument/2006/relationships/hyperlink" Target="https://www.pakutaso.com/userpolic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F556-56E9-49EB-9323-CCD84DCD67E1}">
  <dimension ref="A1:J19"/>
  <sheetViews>
    <sheetView zoomScale="70" zoomScaleNormal="70" workbookViewId="0">
      <pane ySplit="8" topLeftCell="A10" activePane="bottomLeft" state="frozen"/>
      <selection pane="bottomLeft"/>
    </sheetView>
  </sheetViews>
  <sheetFormatPr defaultRowHeight="17.649999999999999"/>
  <cols>
    <col min="1" max="1" width="6.5625" customWidth="1"/>
    <col min="2" max="2" width="12.5625" customWidth="1"/>
    <col min="3" max="3" width="14.5625" customWidth="1"/>
    <col min="4" max="4" width="13.5625" customWidth="1"/>
    <col min="5" max="5" width="42.5625" customWidth="1"/>
    <col min="6" max="6" width="11.5625" customWidth="1"/>
    <col min="7" max="7" width="9.5625" customWidth="1"/>
    <col min="8" max="9" width="12.5625" customWidth="1"/>
    <col min="10" max="10" width="25.5625" customWidth="1"/>
  </cols>
  <sheetData>
    <row r="1" spans="1:10" ht="25.9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2">
        <v>46288</v>
      </c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9.899999999999999">
      <c r="A4" s="5" t="s">
        <v>2</v>
      </c>
      <c r="B4" s="1"/>
      <c r="C4" s="1"/>
      <c r="D4" s="1"/>
      <c r="E4" s="1"/>
      <c r="F4" s="1"/>
      <c r="G4" s="1"/>
      <c r="H4" s="1"/>
      <c r="I4" s="1"/>
      <c r="J4" s="1"/>
    </row>
    <row r="5" spans="1:10" ht="19.899999999999999">
      <c r="A5" s="6" t="s">
        <v>3</v>
      </c>
      <c r="B5" s="7">
        <f>COUNTA(E9:E19)</f>
        <v>11</v>
      </c>
      <c r="C5" s="6" t="s">
        <v>4</v>
      </c>
      <c r="D5" s="7">
        <f>COUNTIF(F9:F19,"完了")</f>
        <v>8</v>
      </c>
      <c r="E5" s="6" t="s">
        <v>5</v>
      </c>
      <c r="F5" s="8">
        <f>IFERROR(D5/B5,0)</f>
        <v>0.72727272727272729</v>
      </c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</row>
    <row r="8" spans="1:10">
      <c r="A8" s="1" t="s">
        <v>7</v>
      </c>
      <c r="B8" s="11" t="s">
        <v>8</v>
      </c>
      <c r="C8" s="11" t="s">
        <v>9</v>
      </c>
      <c r="D8" s="11" t="s">
        <v>10</v>
      </c>
      <c r="E8" s="12" t="s">
        <v>11</v>
      </c>
      <c r="F8" s="11" t="s">
        <v>12</v>
      </c>
      <c r="G8" s="11" t="s">
        <v>13</v>
      </c>
      <c r="H8" s="11" t="s">
        <v>14</v>
      </c>
      <c r="I8" s="11" t="s">
        <v>15</v>
      </c>
      <c r="J8" s="12" t="s">
        <v>16</v>
      </c>
    </row>
    <row r="9" spans="1:10">
      <c r="A9" s="1">
        <v>1</v>
      </c>
      <c r="B9" s="11" t="s">
        <v>17</v>
      </c>
      <c r="C9" s="11" t="s">
        <v>20</v>
      </c>
      <c r="D9" s="11" t="s">
        <v>26</v>
      </c>
      <c r="E9" s="12" t="s">
        <v>27</v>
      </c>
      <c r="F9" s="11" t="s">
        <v>32</v>
      </c>
      <c r="G9" s="11" t="s">
        <v>34</v>
      </c>
      <c r="H9" s="11"/>
      <c r="I9" s="2">
        <v>46280</v>
      </c>
      <c r="J9" s="12"/>
    </row>
    <row r="10" spans="1:10">
      <c r="A10" s="1">
        <v>2</v>
      </c>
      <c r="B10" s="11" t="s">
        <v>19</v>
      </c>
      <c r="C10" s="11" t="s">
        <v>20</v>
      </c>
      <c r="D10" s="11" t="s">
        <v>26</v>
      </c>
      <c r="E10" s="12" t="s">
        <v>28</v>
      </c>
      <c r="F10" s="11" t="s">
        <v>32</v>
      </c>
      <c r="G10" s="11" t="s">
        <v>34</v>
      </c>
      <c r="H10" s="11"/>
      <c r="I10" s="2">
        <v>46280</v>
      </c>
      <c r="J10" s="12"/>
    </row>
    <row r="11" spans="1:10">
      <c r="A11" s="1">
        <v>3</v>
      </c>
      <c r="B11" s="11" t="s">
        <v>19</v>
      </c>
      <c r="C11" s="11" t="s">
        <v>21</v>
      </c>
      <c r="D11" s="11" t="s">
        <v>26</v>
      </c>
      <c r="E11" s="12" t="s">
        <v>29</v>
      </c>
      <c r="F11" s="11" t="s">
        <v>32</v>
      </c>
      <c r="G11" s="11" t="s">
        <v>34</v>
      </c>
      <c r="H11" s="11"/>
      <c r="I11" s="2">
        <v>46280</v>
      </c>
      <c r="J11" s="12"/>
    </row>
    <row r="12" spans="1:10">
      <c r="A12" s="1">
        <v>4</v>
      </c>
      <c r="B12" s="11" t="s">
        <v>19</v>
      </c>
      <c r="C12" s="11" t="s">
        <v>22</v>
      </c>
      <c r="D12" s="11" t="s">
        <v>26</v>
      </c>
      <c r="E12" s="12" t="s">
        <v>30</v>
      </c>
      <c r="F12" s="11" t="s">
        <v>32</v>
      </c>
      <c r="G12" s="11" t="s">
        <v>34</v>
      </c>
      <c r="H12" s="11"/>
      <c r="I12" s="2">
        <v>46283</v>
      </c>
      <c r="J12" s="12"/>
    </row>
    <row r="13" spans="1:10" ht="82.5">
      <c r="A13" s="1">
        <v>5</v>
      </c>
      <c r="B13" s="11" t="s">
        <v>19</v>
      </c>
      <c r="C13" s="11" t="s">
        <v>23</v>
      </c>
      <c r="D13" s="11" t="s">
        <v>39</v>
      </c>
      <c r="E13" s="12" t="s">
        <v>59</v>
      </c>
      <c r="F13" s="11" t="s">
        <v>56</v>
      </c>
      <c r="G13" s="11" t="s">
        <v>34</v>
      </c>
      <c r="H13" s="11"/>
      <c r="I13" s="11"/>
      <c r="J13" s="12" t="s">
        <v>240</v>
      </c>
    </row>
    <row r="14" spans="1:10">
      <c r="A14" s="1">
        <v>6</v>
      </c>
      <c r="B14" s="11" t="s">
        <v>19</v>
      </c>
      <c r="C14" s="11" t="s">
        <v>24</v>
      </c>
      <c r="D14" s="11" t="s">
        <v>26</v>
      </c>
      <c r="E14" s="12" t="s">
        <v>31</v>
      </c>
      <c r="F14" s="11" t="s">
        <v>32</v>
      </c>
      <c r="G14" s="11" t="s">
        <v>34</v>
      </c>
      <c r="H14" s="11"/>
      <c r="I14" s="2">
        <v>46282</v>
      </c>
      <c r="J14" s="12"/>
    </row>
    <row r="15" spans="1:10" ht="33">
      <c r="A15" s="1">
        <v>7</v>
      </c>
      <c r="B15" s="11" t="s">
        <v>19</v>
      </c>
      <c r="C15" s="11" t="s">
        <v>25</v>
      </c>
      <c r="D15" s="11" t="s">
        <v>26</v>
      </c>
      <c r="E15" s="12" t="s">
        <v>55</v>
      </c>
      <c r="F15" s="11" t="s">
        <v>32</v>
      </c>
      <c r="G15" s="11" t="s">
        <v>34</v>
      </c>
      <c r="H15" s="11"/>
      <c r="I15" s="2">
        <v>46282</v>
      </c>
      <c r="J15" s="12" t="s">
        <v>57</v>
      </c>
    </row>
    <row r="16" spans="1:10" ht="123.4">
      <c r="A16" s="1">
        <v>8</v>
      </c>
      <c r="B16" s="11" t="s">
        <v>18</v>
      </c>
      <c r="C16" s="11" t="s">
        <v>35</v>
      </c>
      <c r="D16" s="11" t="s">
        <v>39</v>
      </c>
      <c r="E16" s="12" t="s">
        <v>40</v>
      </c>
      <c r="F16" s="11" t="s">
        <v>32</v>
      </c>
      <c r="G16" s="11" t="s">
        <v>44</v>
      </c>
      <c r="H16" s="11"/>
      <c r="I16" s="2">
        <v>46288</v>
      </c>
      <c r="J16" s="14" t="s">
        <v>243</v>
      </c>
    </row>
    <row r="17" spans="1:10" ht="82.5">
      <c r="A17" s="1">
        <v>9</v>
      </c>
      <c r="B17" s="11" t="s">
        <v>18</v>
      </c>
      <c r="C17" s="11" t="s">
        <v>36</v>
      </c>
      <c r="D17" s="11" t="s">
        <v>39</v>
      </c>
      <c r="E17" s="12" t="s">
        <v>41</v>
      </c>
      <c r="F17" s="11" t="s">
        <v>32</v>
      </c>
      <c r="G17" s="11" t="s">
        <v>44</v>
      </c>
      <c r="H17" s="11"/>
      <c r="I17" s="2">
        <v>46285</v>
      </c>
      <c r="J17" s="12" t="s">
        <v>58</v>
      </c>
    </row>
    <row r="18" spans="1:10">
      <c r="A18" s="1">
        <v>10</v>
      </c>
      <c r="B18" s="11" t="s">
        <v>18</v>
      </c>
      <c r="C18" s="11" t="s">
        <v>37</v>
      </c>
      <c r="D18" s="11" t="s">
        <v>39</v>
      </c>
      <c r="E18" s="12" t="s">
        <v>42</v>
      </c>
      <c r="F18" s="11" t="s">
        <v>33</v>
      </c>
      <c r="G18" s="11" t="s">
        <v>44</v>
      </c>
      <c r="H18" s="11"/>
      <c r="I18" s="11"/>
      <c r="J18" s="12"/>
    </row>
    <row r="19" spans="1:10" ht="33">
      <c r="A19" s="1">
        <v>11</v>
      </c>
      <c r="B19" s="11" t="s">
        <v>18</v>
      </c>
      <c r="C19" s="11" t="s">
        <v>38</v>
      </c>
      <c r="D19" s="11" t="s">
        <v>26</v>
      </c>
      <c r="E19" s="12" t="s">
        <v>43</v>
      </c>
      <c r="F19" s="11" t="s">
        <v>33</v>
      </c>
      <c r="G19" s="11" t="s">
        <v>44</v>
      </c>
      <c r="H19" s="11"/>
      <c r="I19" s="11"/>
      <c r="J19" s="12"/>
    </row>
  </sheetData>
  <phoneticPr fontId="2"/>
  <conditionalFormatting sqref="F9:F19">
    <cfRule type="containsText" dxfId="7" priority="1" operator="containsText" text="進行中">
      <formula>NOT(ISERROR(SEARCH("進行中",F9)))</formula>
    </cfRule>
    <cfRule type="containsText" dxfId="6" priority="2" operator="containsText" text="完了">
      <formula>NOT(ISERROR(SEARCH("完了",F9)))</formula>
    </cfRule>
  </conditionalFormatting>
  <dataValidations count="2">
    <dataValidation type="list" allowBlank="1" showInputMessage="1" showErrorMessage="1" sqref="F9:F19" xr:uid="{371EB76D-E222-4D04-84CE-CC4712CDB324}">
      <formula1>"未着手,進行中,完了"</formula1>
    </dataValidation>
    <dataValidation type="list" allowBlank="1" showInputMessage="1" showErrorMessage="1" sqref="G9:G19" xr:uid="{5EB09C35-F02D-43D3-AC8D-55A8E57DA36D}">
      <formula1>"高,中,低"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6C85-171F-4A6A-84E0-A39E9DFB6A75}">
  <dimension ref="A1:N101"/>
  <sheetViews>
    <sheetView tabSelected="1" zoomScale="60" zoomScaleNormal="60" workbookViewId="0">
      <pane ySplit="5" topLeftCell="A17" activePane="bottomLeft" state="frozen"/>
      <selection pane="bottomLeft" activeCell="C38" sqref="C38"/>
    </sheetView>
  </sheetViews>
  <sheetFormatPr defaultRowHeight="16.5"/>
  <cols>
    <col min="1" max="1" width="6.5625" style="1" customWidth="1"/>
    <col min="2" max="2" width="13.5625" style="1" customWidth="1"/>
    <col min="3" max="3" width="16.5625" style="1" customWidth="1"/>
    <col min="4" max="4" width="13.5625" style="1" customWidth="1"/>
    <col min="5" max="5" width="28.5625" style="1" customWidth="1"/>
    <col min="6" max="6" width="32.5625" style="1" customWidth="1"/>
    <col min="7" max="9" width="12.5625" style="1" customWidth="1"/>
    <col min="10" max="11" width="25.5625" style="1" customWidth="1"/>
    <col min="12" max="12" width="30.5625" style="1" customWidth="1"/>
    <col min="13" max="13" width="16.5625" style="1" customWidth="1"/>
    <col min="14" max="14" width="35.5625" style="1" customWidth="1"/>
    <col min="15" max="16384" width="9" style="1"/>
  </cols>
  <sheetData>
    <row r="1" spans="1:14" ht="25.9">
      <c r="A1" s="3" t="s">
        <v>45</v>
      </c>
    </row>
    <row r="2" spans="1:14">
      <c r="A2" s="1" t="s">
        <v>1</v>
      </c>
      <c r="B2" s="2">
        <v>46288</v>
      </c>
    </row>
    <row r="4" spans="1:14" ht="45">
      <c r="A4" s="5" t="s">
        <v>46</v>
      </c>
      <c r="L4" s="19" t="s">
        <v>241</v>
      </c>
      <c r="M4" s="19" t="s">
        <v>242</v>
      </c>
      <c r="N4" s="19" t="s">
        <v>239</v>
      </c>
    </row>
    <row r="5" spans="1:14">
      <c r="A5" s="10" t="s">
        <v>7</v>
      </c>
      <c r="B5" s="10" t="s">
        <v>10</v>
      </c>
      <c r="C5" s="10" t="s">
        <v>47</v>
      </c>
      <c r="D5" s="10" t="s">
        <v>48</v>
      </c>
      <c r="E5" s="9" t="s">
        <v>49</v>
      </c>
      <c r="F5" s="9" t="s">
        <v>50</v>
      </c>
      <c r="G5" s="1" t="s">
        <v>51</v>
      </c>
      <c r="H5" s="1" t="s">
        <v>52</v>
      </c>
      <c r="I5" s="1" t="s">
        <v>53</v>
      </c>
      <c r="J5" s="9" t="s">
        <v>54</v>
      </c>
      <c r="K5" s="9" t="s">
        <v>16</v>
      </c>
      <c r="L5" s="12" t="s">
        <v>221</v>
      </c>
      <c r="M5" s="12" t="s">
        <v>222</v>
      </c>
      <c r="N5" s="12" t="s">
        <v>223</v>
      </c>
    </row>
    <row r="6" spans="1:14" ht="33">
      <c r="A6" s="10">
        <v>1</v>
      </c>
      <c r="B6" s="10" t="s">
        <v>106</v>
      </c>
      <c r="C6" s="14" t="s">
        <v>219</v>
      </c>
      <c r="D6" s="10" t="s">
        <v>61</v>
      </c>
      <c r="E6" t="s">
        <v>62</v>
      </c>
      <c r="F6" s="9" t="s">
        <v>63</v>
      </c>
      <c r="G6" s="1" t="s">
        <v>64</v>
      </c>
      <c r="H6" s="1" t="s">
        <v>65</v>
      </c>
      <c r="I6" s="1" t="s">
        <v>66</v>
      </c>
      <c r="J6" s="9" t="s">
        <v>67</v>
      </c>
      <c r="K6" s="9" t="s">
        <v>103</v>
      </c>
      <c r="L6" s="12"/>
      <c r="M6" s="12"/>
      <c r="N6" s="12" t="s">
        <v>236</v>
      </c>
    </row>
    <row r="7" spans="1:14" ht="66">
      <c r="A7" s="13">
        <v>2</v>
      </c>
      <c r="B7" s="13" t="s">
        <v>60</v>
      </c>
      <c r="C7" s="16" t="s">
        <v>102</v>
      </c>
      <c r="D7" s="13" t="s">
        <v>61</v>
      </c>
      <c r="E7" s="9" t="s">
        <v>68</v>
      </c>
      <c r="F7" s="12" t="s">
        <v>69</v>
      </c>
      <c r="G7" s="11" t="s">
        <v>64</v>
      </c>
      <c r="H7" s="11" t="s">
        <v>65</v>
      </c>
      <c r="I7" s="11" t="s">
        <v>66</v>
      </c>
      <c r="J7" s="12" t="s">
        <v>67</v>
      </c>
      <c r="K7" s="12" t="s">
        <v>104</v>
      </c>
      <c r="L7" s="12"/>
      <c r="M7" s="12"/>
      <c r="N7" t="s">
        <v>235</v>
      </c>
    </row>
    <row r="8" spans="1:14" ht="88.15">
      <c r="A8" s="13">
        <v>3</v>
      </c>
      <c r="B8" s="13" t="s">
        <v>60</v>
      </c>
      <c r="C8" s="14" t="s">
        <v>102</v>
      </c>
      <c r="D8" s="13" t="s">
        <v>61</v>
      </c>
      <c r="E8" s="9" t="s">
        <v>70</v>
      </c>
      <c r="F8" s="12" t="s">
        <v>71</v>
      </c>
      <c r="G8" s="11" t="s">
        <v>64</v>
      </c>
      <c r="H8" s="11" t="s">
        <v>65</v>
      </c>
      <c r="I8" s="11" t="s">
        <v>66</v>
      </c>
      <c r="J8" s="12" t="s">
        <v>67</v>
      </c>
      <c r="K8" s="12" t="s">
        <v>104</v>
      </c>
      <c r="L8" s="12"/>
      <c r="M8" s="12"/>
      <c r="N8" t="s">
        <v>235</v>
      </c>
    </row>
    <row r="9" spans="1:14" ht="33">
      <c r="A9" s="13">
        <v>4</v>
      </c>
      <c r="B9" s="13" t="s">
        <v>125</v>
      </c>
      <c r="C9" s="14" t="s">
        <v>220</v>
      </c>
      <c r="D9" s="13" t="s">
        <v>74</v>
      </c>
      <c r="E9" t="s">
        <v>75</v>
      </c>
      <c r="F9" s="12" t="s">
        <v>76</v>
      </c>
      <c r="G9" s="11" t="s">
        <v>64</v>
      </c>
      <c r="H9" s="11" t="s">
        <v>65</v>
      </c>
      <c r="I9" s="11" t="s">
        <v>66</v>
      </c>
      <c r="J9" s="12" t="s">
        <v>161</v>
      </c>
      <c r="K9" s="12" t="s">
        <v>123</v>
      </c>
      <c r="L9" s="12"/>
      <c r="M9" s="12"/>
      <c r="N9" t="s">
        <v>238</v>
      </c>
    </row>
    <row r="10" spans="1:14" ht="49.5">
      <c r="A10" s="13">
        <v>5</v>
      </c>
      <c r="B10" s="13" t="s">
        <v>60</v>
      </c>
      <c r="C10" s="16" t="s">
        <v>122</v>
      </c>
      <c r="D10" s="13" t="s">
        <v>61</v>
      </c>
      <c r="E10" t="s">
        <v>77</v>
      </c>
      <c r="F10" s="12" t="s">
        <v>79</v>
      </c>
      <c r="G10" s="11" t="s">
        <v>64</v>
      </c>
      <c r="H10" s="11" t="s">
        <v>65</v>
      </c>
      <c r="I10" s="11" t="s">
        <v>66</v>
      </c>
      <c r="J10" s="12" t="s">
        <v>161</v>
      </c>
      <c r="K10" s="12" t="s">
        <v>124</v>
      </c>
      <c r="L10" s="12"/>
      <c r="M10" s="12"/>
      <c r="N10" t="s">
        <v>238</v>
      </c>
    </row>
    <row r="11" spans="1:14" ht="49.5">
      <c r="A11" s="13">
        <v>6</v>
      </c>
      <c r="B11" s="13" t="s">
        <v>60</v>
      </c>
      <c r="C11" s="16" t="s">
        <v>122</v>
      </c>
      <c r="D11" s="13" t="s">
        <v>61</v>
      </c>
      <c r="E11" t="s">
        <v>78</v>
      </c>
      <c r="F11" s="12" t="s">
        <v>80</v>
      </c>
      <c r="G11" s="11" t="s">
        <v>64</v>
      </c>
      <c r="H11" s="11" t="s">
        <v>65</v>
      </c>
      <c r="I11" s="11" t="s">
        <v>66</v>
      </c>
      <c r="J11" s="12" t="s">
        <v>161</v>
      </c>
      <c r="K11" s="12" t="s">
        <v>124</v>
      </c>
      <c r="L11" s="12"/>
      <c r="M11" s="12"/>
      <c r="N11" t="s">
        <v>238</v>
      </c>
    </row>
    <row r="12" spans="1:14" ht="49.5">
      <c r="A12" s="13">
        <v>7</v>
      </c>
      <c r="B12" s="13" t="s">
        <v>60</v>
      </c>
      <c r="C12" s="16" t="s">
        <v>94</v>
      </c>
      <c r="D12" s="13" t="s">
        <v>74</v>
      </c>
      <c r="E12" t="s">
        <v>81</v>
      </c>
      <c r="F12" s="12" t="s">
        <v>82</v>
      </c>
      <c r="G12" s="11" t="s">
        <v>64</v>
      </c>
      <c r="H12" s="11" t="s">
        <v>65</v>
      </c>
      <c r="I12" s="11" t="s">
        <v>72</v>
      </c>
      <c r="J12" s="12" t="s">
        <v>274</v>
      </c>
      <c r="K12" s="12" t="s">
        <v>275</v>
      </c>
      <c r="L12" s="12"/>
      <c r="M12" s="12"/>
      <c r="N12" t="s">
        <v>238</v>
      </c>
    </row>
    <row r="13" spans="1:14" ht="17.649999999999999">
      <c r="A13" s="13">
        <v>8</v>
      </c>
      <c r="B13" s="13" t="s">
        <v>60</v>
      </c>
      <c r="C13" s="16" t="s">
        <v>150</v>
      </c>
      <c r="D13" s="13" t="s">
        <v>61</v>
      </c>
      <c r="E13" s="9" t="s">
        <v>83</v>
      </c>
      <c r="F13" s="12" t="s">
        <v>85</v>
      </c>
      <c r="G13" s="11" t="s">
        <v>64</v>
      </c>
      <c r="H13" s="11" t="s">
        <v>65</v>
      </c>
      <c r="I13" s="11" t="s">
        <v>66</v>
      </c>
      <c r="J13" s="12" t="s">
        <v>161</v>
      </c>
      <c r="K13" s="14" t="s">
        <v>105</v>
      </c>
      <c r="L13" s="12"/>
      <c r="M13" s="12"/>
      <c r="N13" t="s">
        <v>238</v>
      </c>
    </row>
    <row r="14" spans="1:14" ht="17.649999999999999">
      <c r="A14" s="13">
        <v>9</v>
      </c>
      <c r="B14" s="13" t="s">
        <v>60</v>
      </c>
      <c r="C14" s="16" t="s">
        <v>151</v>
      </c>
      <c r="D14" s="13" t="s">
        <v>61</v>
      </c>
      <c r="E14" t="s">
        <v>84</v>
      </c>
      <c r="F14" s="12" t="s">
        <v>86</v>
      </c>
      <c r="G14" s="11" t="s">
        <v>64</v>
      </c>
      <c r="H14" s="11" t="s">
        <v>65</v>
      </c>
      <c r="I14" s="11" t="s">
        <v>66</v>
      </c>
      <c r="J14" s="12" t="s">
        <v>161</v>
      </c>
      <c r="K14" s="15"/>
      <c r="L14" s="12"/>
      <c r="M14" s="12"/>
      <c r="N14" t="s">
        <v>238</v>
      </c>
    </row>
    <row r="15" spans="1:14" ht="33">
      <c r="A15" s="13">
        <v>10</v>
      </c>
      <c r="B15" s="13" t="s">
        <v>60</v>
      </c>
      <c r="C15" s="16" t="s">
        <v>152</v>
      </c>
      <c r="D15" s="13" t="s">
        <v>61</v>
      </c>
      <c r="E15" s="9" t="s">
        <v>87</v>
      </c>
      <c r="F15" s="12" t="s">
        <v>90</v>
      </c>
      <c r="G15" s="11" t="s">
        <v>64</v>
      </c>
      <c r="H15" s="11" t="s">
        <v>65</v>
      </c>
      <c r="I15" s="11" t="s">
        <v>66</v>
      </c>
      <c r="J15" s="12" t="s">
        <v>67</v>
      </c>
      <c r="K15" s="12" t="s">
        <v>105</v>
      </c>
      <c r="L15" s="12"/>
      <c r="M15" s="12"/>
      <c r="N15" t="s">
        <v>235</v>
      </c>
    </row>
    <row r="16" spans="1:14" ht="33">
      <c r="A16" s="13">
        <v>11</v>
      </c>
      <c r="B16" s="13" t="s">
        <v>60</v>
      </c>
      <c r="C16" s="16" t="s">
        <v>153</v>
      </c>
      <c r="D16" s="13" t="s">
        <v>61</v>
      </c>
      <c r="E16" t="s">
        <v>88</v>
      </c>
      <c r="F16" s="12" t="s">
        <v>91</v>
      </c>
      <c r="G16" s="11" t="s">
        <v>64</v>
      </c>
      <c r="H16" s="11" t="s">
        <v>65</v>
      </c>
      <c r="I16" s="11" t="s">
        <v>66</v>
      </c>
      <c r="J16" s="12" t="s">
        <v>67</v>
      </c>
      <c r="K16" s="12" t="s">
        <v>156</v>
      </c>
      <c r="L16" s="12"/>
      <c r="M16" s="12"/>
      <c r="N16" t="s">
        <v>235</v>
      </c>
    </row>
    <row r="17" spans="1:14" ht="17.649999999999999">
      <c r="A17" s="13">
        <v>12</v>
      </c>
      <c r="B17" s="13" t="s">
        <v>60</v>
      </c>
      <c r="C17" s="16" t="s">
        <v>154</v>
      </c>
      <c r="D17" s="13" t="s">
        <v>61</v>
      </c>
      <c r="E17" t="s">
        <v>89</v>
      </c>
      <c r="F17" s="12" t="s">
        <v>92</v>
      </c>
      <c r="G17" s="11" t="s">
        <v>64</v>
      </c>
      <c r="H17" s="11" t="s">
        <v>65</v>
      </c>
      <c r="I17" s="11" t="s">
        <v>66</v>
      </c>
      <c r="J17" s="12" t="s">
        <v>67</v>
      </c>
      <c r="K17" s="12"/>
      <c r="L17" s="12"/>
      <c r="M17" s="12"/>
      <c r="N17" t="s">
        <v>235</v>
      </c>
    </row>
    <row r="18" spans="1:14" ht="33">
      <c r="A18" s="13">
        <v>13</v>
      </c>
      <c r="B18" s="13" t="s">
        <v>60</v>
      </c>
      <c r="C18" s="16" t="s">
        <v>155</v>
      </c>
      <c r="D18" s="13" t="s">
        <v>61</v>
      </c>
      <c r="E18" t="s">
        <v>141</v>
      </c>
      <c r="F18" s="12" t="s">
        <v>142</v>
      </c>
      <c r="G18" s="11" t="s">
        <v>64</v>
      </c>
      <c r="H18" s="11" t="s">
        <v>65</v>
      </c>
      <c r="I18" s="11" t="s">
        <v>66</v>
      </c>
      <c r="J18" s="12" t="s">
        <v>161</v>
      </c>
      <c r="K18" s="12" t="s">
        <v>162</v>
      </c>
      <c r="L18" s="12"/>
      <c r="M18" s="12"/>
      <c r="N18" t="s">
        <v>237</v>
      </c>
    </row>
    <row r="19" spans="1:14" ht="17.649999999999999">
      <c r="A19" s="13">
        <v>14</v>
      </c>
      <c r="B19" s="13" t="s">
        <v>73</v>
      </c>
      <c r="C19" s="16" t="s">
        <v>95</v>
      </c>
      <c r="D19" s="13" t="s">
        <v>61</v>
      </c>
      <c r="E19" t="s">
        <v>96</v>
      </c>
      <c r="F19" s="12" t="s">
        <v>157</v>
      </c>
      <c r="G19" s="11" t="s">
        <v>64</v>
      </c>
      <c r="H19" s="11" t="s">
        <v>65</v>
      </c>
      <c r="I19" s="11" t="s">
        <v>66</v>
      </c>
      <c r="J19" s="12" t="s">
        <v>161</v>
      </c>
      <c r="K19" s="12"/>
      <c r="L19" s="12"/>
      <c r="M19" s="12"/>
      <c r="N19" t="s">
        <v>237</v>
      </c>
    </row>
    <row r="20" spans="1:14" ht="33">
      <c r="A20" s="13">
        <v>15</v>
      </c>
      <c r="B20" s="13" t="s">
        <v>73</v>
      </c>
      <c r="C20" s="16" t="s">
        <v>95</v>
      </c>
      <c r="D20" s="13" t="s">
        <v>61</v>
      </c>
      <c r="E20" t="s">
        <v>98</v>
      </c>
      <c r="F20" s="12" t="s">
        <v>100</v>
      </c>
      <c r="G20" s="11" t="s">
        <v>64</v>
      </c>
      <c r="H20" s="11" t="s">
        <v>65</v>
      </c>
      <c r="I20" s="11" t="s">
        <v>66</v>
      </c>
      <c r="J20" s="12" t="s">
        <v>161</v>
      </c>
      <c r="K20" s="12" t="s">
        <v>163</v>
      </c>
      <c r="L20" s="12"/>
      <c r="M20" s="12"/>
      <c r="N20" t="s">
        <v>237</v>
      </c>
    </row>
    <row r="21" spans="1:14" ht="33">
      <c r="A21" s="13">
        <v>16</v>
      </c>
      <c r="B21" s="13" t="s">
        <v>73</v>
      </c>
      <c r="C21" s="16" t="s">
        <v>97</v>
      </c>
      <c r="D21" s="13" t="s">
        <v>61</v>
      </c>
      <c r="E21" t="s">
        <v>99</v>
      </c>
      <c r="F21" s="12" t="s">
        <v>101</v>
      </c>
      <c r="G21" s="11" t="s">
        <v>64</v>
      </c>
      <c r="H21" s="11" t="s">
        <v>65</v>
      </c>
      <c r="I21" s="11" t="s">
        <v>66</v>
      </c>
      <c r="J21" s="12" t="s">
        <v>161</v>
      </c>
      <c r="K21" s="12" t="s">
        <v>164</v>
      </c>
      <c r="L21" s="12"/>
      <c r="M21" s="12"/>
      <c r="N21" t="s">
        <v>237</v>
      </c>
    </row>
    <row r="22" spans="1:14" ht="17.649999999999999">
      <c r="A22" s="13">
        <v>17</v>
      </c>
      <c r="B22" s="13" t="s">
        <v>106</v>
      </c>
      <c r="C22" s="16" t="s">
        <v>107</v>
      </c>
      <c r="D22" s="13" t="s">
        <v>61</v>
      </c>
      <c r="E22" s="9" t="s">
        <v>108</v>
      </c>
      <c r="F22" s="12" t="s">
        <v>109</v>
      </c>
      <c r="G22" s="11" t="s">
        <v>64</v>
      </c>
      <c r="H22" s="11" t="s">
        <v>65</v>
      </c>
      <c r="I22" s="11" t="s">
        <v>66</v>
      </c>
      <c r="J22" s="12" t="s">
        <v>161</v>
      </c>
      <c r="K22" s="12"/>
      <c r="L22" s="12"/>
      <c r="M22" s="12"/>
      <c r="N22" t="s">
        <v>237</v>
      </c>
    </row>
    <row r="23" spans="1:14" ht="17.649999999999999">
      <c r="A23" s="13">
        <v>18</v>
      </c>
      <c r="B23" s="13" t="s">
        <v>106</v>
      </c>
      <c r="C23" s="16" t="s">
        <v>107</v>
      </c>
      <c r="D23" s="13" t="s">
        <v>61</v>
      </c>
      <c r="E23" t="s">
        <v>110</v>
      </c>
      <c r="F23" s="12" t="s">
        <v>113</v>
      </c>
      <c r="G23" s="11" t="s">
        <v>64</v>
      </c>
      <c r="H23" s="11" t="s">
        <v>65</v>
      </c>
      <c r="I23" s="11" t="s">
        <v>66</v>
      </c>
      <c r="J23" s="12" t="s">
        <v>161</v>
      </c>
      <c r="K23" s="12"/>
      <c r="L23" s="12"/>
      <c r="M23" s="12"/>
      <c r="N23" t="s">
        <v>237</v>
      </c>
    </row>
    <row r="24" spans="1:14" ht="17.649999999999999">
      <c r="A24" s="13">
        <v>19</v>
      </c>
      <c r="B24" s="13" t="s">
        <v>106</v>
      </c>
      <c r="C24" s="16" t="s">
        <v>107</v>
      </c>
      <c r="D24" s="13" t="s">
        <v>61</v>
      </c>
      <c r="E24" t="s">
        <v>111</v>
      </c>
      <c r="F24" s="12" t="s">
        <v>114</v>
      </c>
      <c r="G24" s="11" t="s">
        <v>64</v>
      </c>
      <c r="H24" s="11" t="s">
        <v>65</v>
      </c>
      <c r="I24" s="11" t="s">
        <v>66</v>
      </c>
      <c r="J24" s="12" t="s">
        <v>161</v>
      </c>
      <c r="K24" s="12"/>
      <c r="L24" s="12"/>
      <c r="M24" s="12"/>
      <c r="N24" t="s">
        <v>237</v>
      </c>
    </row>
    <row r="25" spans="1:14" ht="17.649999999999999">
      <c r="A25" s="13">
        <v>20</v>
      </c>
      <c r="B25" s="13" t="s">
        <v>106</v>
      </c>
      <c r="C25" s="16" t="s">
        <v>107</v>
      </c>
      <c r="D25" s="13" t="s">
        <v>61</v>
      </c>
      <c r="E25" t="s">
        <v>112</v>
      </c>
      <c r="F25" s="12" t="s">
        <v>115</v>
      </c>
      <c r="G25" s="11" t="s">
        <v>64</v>
      </c>
      <c r="H25" s="11" t="s">
        <v>65</v>
      </c>
      <c r="I25" s="11" t="s">
        <v>66</v>
      </c>
      <c r="J25" s="12" t="s">
        <v>161</v>
      </c>
      <c r="K25" s="12"/>
      <c r="L25" s="12"/>
      <c r="M25" s="12"/>
      <c r="N25" t="s">
        <v>237</v>
      </c>
    </row>
    <row r="26" spans="1:14" ht="17.649999999999999">
      <c r="A26" s="13">
        <v>21</v>
      </c>
      <c r="B26" s="13" t="s">
        <v>106</v>
      </c>
      <c r="C26" s="16" t="s">
        <v>107</v>
      </c>
      <c r="D26" s="13" t="s">
        <v>61</v>
      </c>
      <c r="E26" t="s">
        <v>116</v>
      </c>
      <c r="F26" s="12" t="s">
        <v>119</v>
      </c>
      <c r="G26" s="11" t="s">
        <v>64</v>
      </c>
      <c r="H26" s="11" t="s">
        <v>65</v>
      </c>
      <c r="I26" s="11" t="s">
        <v>66</v>
      </c>
      <c r="J26" s="12" t="s">
        <v>161</v>
      </c>
      <c r="K26" s="12"/>
      <c r="L26" s="12"/>
      <c r="M26" s="12"/>
      <c r="N26" t="s">
        <v>237</v>
      </c>
    </row>
    <row r="27" spans="1:14" ht="17.649999999999999">
      <c r="A27" s="13">
        <v>22</v>
      </c>
      <c r="B27" s="13" t="s">
        <v>106</v>
      </c>
      <c r="C27" s="16" t="s">
        <v>107</v>
      </c>
      <c r="D27" s="13" t="s">
        <v>61</v>
      </c>
      <c r="E27" t="s">
        <v>117</v>
      </c>
      <c r="F27" s="12" t="s">
        <v>120</v>
      </c>
      <c r="G27" s="11" t="s">
        <v>64</v>
      </c>
      <c r="H27" s="11" t="s">
        <v>65</v>
      </c>
      <c r="I27" s="11" t="s">
        <v>66</v>
      </c>
      <c r="J27" s="12" t="s">
        <v>161</v>
      </c>
      <c r="K27" s="12"/>
      <c r="L27" s="12"/>
      <c r="M27" s="12"/>
      <c r="N27" t="s">
        <v>237</v>
      </c>
    </row>
    <row r="28" spans="1:14" ht="17.649999999999999">
      <c r="A28" s="13">
        <v>23</v>
      </c>
      <c r="B28" s="13" t="s">
        <v>106</v>
      </c>
      <c r="C28" s="16" t="s">
        <v>107</v>
      </c>
      <c r="D28" s="13" t="s">
        <v>61</v>
      </c>
      <c r="E28" t="s">
        <v>118</v>
      </c>
      <c r="F28" s="12" t="s">
        <v>121</v>
      </c>
      <c r="G28" s="11" t="s">
        <v>64</v>
      </c>
      <c r="H28" s="11" t="s">
        <v>65</v>
      </c>
      <c r="I28" s="11" t="s">
        <v>66</v>
      </c>
      <c r="J28" s="12" t="s">
        <v>161</v>
      </c>
      <c r="K28" s="12"/>
      <c r="L28" s="12"/>
      <c r="M28" s="12"/>
      <c r="N28" t="s">
        <v>237</v>
      </c>
    </row>
    <row r="29" spans="1:14" ht="17.649999999999999">
      <c r="A29" s="13">
        <v>24</v>
      </c>
      <c r="B29" s="13" t="s">
        <v>125</v>
      </c>
      <c r="C29" s="16" t="s">
        <v>126</v>
      </c>
      <c r="D29" s="13" t="s">
        <v>61</v>
      </c>
      <c r="E29" t="s">
        <v>128</v>
      </c>
      <c r="F29" s="12" t="s">
        <v>129</v>
      </c>
      <c r="G29" s="11" t="s">
        <v>64</v>
      </c>
      <c r="H29" s="11" t="s">
        <v>127</v>
      </c>
      <c r="I29" s="11" t="s">
        <v>66</v>
      </c>
      <c r="J29" s="12" t="s">
        <v>161</v>
      </c>
      <c r="K29" s="12"/>
      <c r="L29" s="12"/>
      <c r="M29" s="12"/>
      <c r="N29" t="s">
        <v>237</v>
      </c>
    </row>
    <row r="30" spans="1:14" ht="17.649999999999999">
      <c r="A30" s="13">
        <v>25</v>
      </c>
      <c r="B30" s="13" t="s">
        <v>125</v>
      </c>
      <c r="C30" s="16" t="s">
        <v>126</v>
      </c>
      <c r="D30" s="13" t="s">
        <v>61</v>
      </c>
      <c r="E30" s="9" t="s">
        <v>130</v>
      </c>
      <c r="F30" s="12" t="s">
        <v>131</v>
      </c>
      <c r="G30" s="11" t="s">
        <v>64</v>
      </c>
      <c r="H30" s="11" t="s">
        <v>65</v>
      </c>
      <c r="I30" s="11" t="s">
        <v>66</v>
      </c>
      <c r="J30" s="12" t="s">
        <v>161</v>
      </c>
      <c r="K30" s="12"/>
      <c r="L30" s="12"/>
      <c r="M30" s="12"/>
      <c r="N30" t="s">
        <v>237</v>
      </c>
    </row>
    <row r="31" spans="1:14" ht="33">
      <c r="A31" s="13">
        <v>26</v>
      </c>
      <c r="B31" s="13" t="s">
        <v>125</v>
      </c>
      <c r="C31" s="16" t="s">
        <v>284</v>
      </c>
      <c r="D31" s="13" t="s">
        <v>61</v>
      </c>
      <c r="E31" t="s">
        <v>132</v>
      </c>
      <c r="F31" s="12" t="s">
        <v>133</v>
      </c>
      <c r="G31" s="11" t="s">
        <v>64</v>
      </c>
      <c r="H31" s="11" t="s">
        <v>65</v>
      </c>
      <c r="I31" s="11" t="s">
        <v>66</v>
      </c>
      <c r="J31" s="12" t="s">
        <v>161</v>
      </c>
      <c r="K31" s="12"/>
      <c r="L31" s="12"/>
      <c r="M31" s="12"/>
      <c r="N31" t="s">
        <v>237</v>
      </c>
    </row>
    <row r="32" spans="1:14" ht="17.649999999999999">
      <c r="A32" s="13">
        <v>27</v>
      </c>
      <c r="B32" s="13" t="s">
        <v>125</v>
      </c>
      <c r="C32" s="16" t="s">
        <v>126</v>
      </c>
      <c r="D32" s="13" t="s">
        <v>61</v>
      </c>
      <c r="E32" t="s">
        <v>134</v>
      </c>
      <c r="F32" s="12" t="s">
        <v>135</v>
      </c>
      <c r="G32" s="11" t="s">
        <v>64</v>
      </c>
      <c r="H32" s="11" t="s">
        <v>65</v>
      </c>
      <c r="I32" s="11" t="s">
        <v>66</v>
      </c>
      <c r="J32" s="12" t="s">
        <v>161</v>
      </c>
      <c r="K32" s="12"/>
      <c r="L32" s="12"/>
      <c r="M32" s="12"/>
      <c r="N32" t="s">
        <v>237</v>
      </c>
    </row>
    <row r="33" spans="1:14" ht="17.649999999999999">
      <c r="A33" s="13">
        <v>28</v>
      </c>
      <c r="B33" s="13" t="s">
        <v>136</v>
      </c>
      <c r="C33" s="16" t="s">
        <v>137</v>
      </c>
      <c r="D33" s="13" t="s">
        <v>61</v>
      </c>
      <c r="E33" t="s">
        <v>138</v>
      </c>
      <c r="F33" s="12" t="s">
        <v>158</v>
      </c>
      <c r="G33" s="11" t="s">
        <v>64</v>
      </c>
      <c r="H33" s="11" t="s">
        <v>65</v>
      </c>
      <c r="I33" s="11" t="s">
        <v>66</v>
      </c>
      <c r="J33" s="12" t="s">
        <v>161</v>
      </c>
      <c r="K33" s="12"/>
      <c r="L33" s="12"/>
      <c r="M33" s="12"/>
      <c r="N33" t="s">
        <v>237</v>
      </c>
    </row>
    <row r="34" spans="1:14" ht="17.649999999999999">
      <c r="A34" s="13">
        <v>29</v>
      </c>
      <c r="B34" s="13" t="s">
        <v>136</v>
      </c>
      <c r="C34" s="16" t="s">
        <v>137</v>
      </c>
      <c r="D34" s="13" t="s">
        <v>61</v>
      </c>
      <c r="E34" t="s">
        <v>139</v>
      </c>
      <c r="F34" s="12" t="s">
        <v>140</v>
      </c>
      <c r="G34" s="11" t="s">
        <v>64</v>
      </c>
      <c r="H34" s="11" t="s">
        <v>65</v>
      </c>
      <c r="I34" s="11" t="s">
        <v>66</v>
      </c>
      <c r="J34" s="12" t="s">
        <v>161</v>
      </c>
      <c r="K34" s="12"/>
      <c r="L34" s="12"/>
      <c r="M34" s="12"/>
      <c r="N34" t="s">
        <v>237</v>
      </c>
    </row>
    <row r="35" spans="1:14" ht="33">
      <c r="A35" s="13">
        <v>30</v>
      </c>
      <c r="B35" s="13" t="s">
        <v>143</v>
      </c>
      <c r="C35" s="16" t="s">
        <v>144</v>
      </c>
      <c r="D35" s="13" t="s">
        <v>61</v>
      </c>
      <c r="E35" t="s">
        <v>159</v>
      </c>
      <c r="F35" s="12" t="s">
        <v>146</v>
      </c>
      <c r="G35" s="11" t="s">
        <v>64</v>
      </c>
      <c r="H35" s="11" t="s">
        <v>65</v>
      </c>
      <c r="I35" s="11" t="s">
        <v>66</v>
      </c>
      <c r="J35" s="12" t="s">
        <v>161</v>
      </c>
      <c r="K35" s="12" t="s">
        <v>165</v>
      </c>
      <c r="L35" s="12"/>
      <c r="M35" s="12"/>
      <c r="N35" t="s">
        <v>237</v>
      </c>
    </row>
    <row r="36" spans="1:14" ht="33">
      <c r="A36" s="13">
        <v>31</v>
      </c>
      <c r="B36" s="13" t="s">
        <v>143</v>
      </c>
      <c r="C36" s="16" t="s">
        <v>160</v>
      </c>
      <c r="D36" s="13" t="s">
        <v>61</v>
      </c>
      <c r="E36" t="s">
        <v>145</v>
      </c>
      <c r="F36" s="12" t="s">
        <v>147</v>
      </c>
      <c r="G36" s="11" t="s">
        <v>64</v>
      </c>
      <c r="H36" s="11" t="s">
        <v>65</v>
      </c>
      <c r="I36" s="11" t="s">
        <v>66</v>
      </c>
      <c r="J36" s="12" t="s">
        <v>161</v>
      </c>
      <c r="K36" s="12" t="s">
        <v>166</v>
      </c>
      <c r="L36" s="12"/>
      <c r="M36" s="12"/>
      <c r="N36" t="s">
        <v>237</v>
      </c>
    </row>
    <row r="37" spans="1:14" ht="33">
      <c r="A37" s="13">
        <v>32</v>
      </c>
      <c r="B37" s="13" t="s">
        <v>125</v>
      </c>
      <c r="C37" s="16" t="s">
        <v>284</v>
      </c>
      <c r="D37" s="13" t="s">
        <v>61</v>
      </c>
      <c r="E37" t="s">
        <v>148</v>
      </c>
      <c r="F37" s="12" t="s">
        <v>149</v>
      </c>
      <c r="G37" s="11" t="s">
        <v>64</v>
      </c>
      <c r="H37" s="11" t="s">
        <v>65</v>
      </c>
      <c r="I37" s="11" t="s">
        <v>66</v>
      </c>
      <c r="J37" s="12" t="s">
        <v>173</v>
      </c>
      <c r="K37" s="12"/>
      <c r="L37" s="12"/>
      <c r="M37" s="12"/>
      <c r="N37" t="s">
        <v>237</v>
      </c>
    </row>
    <row r="38" spans="1:14" ht="17.649999999999999">
      <c r="A38" s="13">
        <v>33</v>
      </c>
      <c r="B38" s="13" t="s">
        <v>125</v>
      </c>
      <c r="C38" s="16" t="s">
        <v>126</v>
      </c>
      <c r="D38" s="13" t="s">
        <v>61</v>
      </c>
      <c r="E38" s="9" t="s">
        <v>167</v>
      </c>
      <c r="F38" s="12" t="s">
        <v>170</v>
      </c>
      <c r="G38" s="11" t="s">
        <v>64</v>
      </c>
      <c r="H38" s="11" t="s">
        <v>65</v>
      </c>
      <c r="I38" s="11" t="s">
        <v>66</v>
      </c>
      <c r="J38" s="12" t="s">
        <v>161</v>
      </c>
      <c r="K38" s="12" t="s">
        <v>174</v>
      </c>
      <c r="L38" s="12"/>
      <c r="M38" s="12"/>
      <c r="N38" t="s">
        <v>237</v>
      </c>
    </row>
    <row r="39" spans="1:14" ht="17.649999999999999">
      <c r="A39" s="13">
        <v>34</v>
      </c>
      <c r="B39" s="13" t="s">
        <v>125</v>
      </c>
      <c r="C39" s="16" t="s">
        <v>126</v>
      </c>
      <c r="D39" s="13" t="s">
        <v>61</v>
      </c>
      <c r="E39" s="9" t="s">
        <v>168</v>
      </c>
      <c r="F39" s="12" t="s">
        <v>171</v>
      </c>
      <c r="G39" s="11" t="s">
        <v>93</v>
      </c>
      <c r="H39" s="11" t="s">
        <v>65</v>
      </c>
      <c r="I39" s="11" t="s">
        <v>72</v>
      </c>
      <c r="J39" s="12" t="s">
        <v>161</v>
      </c>
      <c r="K39" s="12" t="s">
        <v>174</v>
      </c>
      <c r="L39" s="12"/>
      <c r="M39" s="12"/>
      <c r="N39" t="s">
        <v>237</v>
      </c>
    </row>
    <row r="40" spans="1:14" ht="17.649999999999999">
      <c r="A40" s="13">
        <v>35</v>
      </c>
      <c r="B40" s="13" t="s">
        <v>125</v>
      </c>
      <c r="C40" s="16" t="s">
        <v>126</v>
      </c>
      <c r="D40" s="13" t="s">
        <v>61</v>
      </c>
      <c r="E40" t="s">
        <v>169</v>
      </c>
      <c r="F40" s="12" t="s">
        <v>172</v>
      </c>
      <c r="G40" s="11" t="s">
        <v>93</v>
      </c>
      <c r="H40" s="11" t="s">
        <v>65</v>
      </c>
      <c r="I40" s="11" t="s">
        <v>72</v>
      </c>
      <c r="J40" s="12" t="s">
        <v>276</v>
      </c>
      <c r="K40" s="12" t="s">
        <v>174</v>
      </c>
      <c r="L40" s="12"/>
      <c r="M40" s="12"/>
      <c r="N40" s="12" t="s">
        <v>224</v>
      </c>
    </row>
    <row r="41" spans="1:14" ht="17.649999999999999">
      <c r="A41" s="13">
        <v>36</v>
      </c>
      <c r="B41" s="13" t="s">
        <v>60</v>
      </c>
      <c r="C41" s="16" t="s">
        <v>177</v>
      </c>
      <c r="D41" s="13" t="s">
        <v>179</v>
      </c>
      <c r="E41" t="s">
        <v>187</v>
      </c>
      <c r="F41" s="12" t="s">
        <v>196</v>
      </c>
      <c r="G41" s="11" t="s">
        <v>64</v>
      </c>
      <c r="H41" s="11" t="s">
        <v>206</v>
      </c>
      <c r="I41" s="11" t="s">
        <v>66</v>
      </c>
      <c r="J41" s="12" t="s">
        <v>207</v>
      </c>
      <c r="K41" s="12" t="s">
        <v>208</v>
      </c>
      <c r="L41" s="12"/>
      <c r="M41" s="12"/>
      <c r="N41" s="12" t="s">
        <v>224</v>
      </c>
    </row>
    <row r="42" spans="1:14" ht="17.649999999999999">
      <c r="A42" s="13">
        <v>37</v>
      </c>
      <c r="B42" s="13" t="s">
        <v>60</v>
      </c>
      <c r="C42" s="16" t="s">
        <v>177</v>
      </c>
      <c r="D42" s="13" t="s">
        <v>178</v>
      </c>
      <c r="E42" t="s">
        <v>188</v>
      </c>
      <c r="F42" s="12" t="s">
        <v>197</v>
      </c>
      <c r="G42" s="11" t="s">
        <v>64</v>
      </c>
      <c r="H42" s="11" t="s">
        <v>206</v>
      </c>
      <c r="I42" s="11" t="s">
        <v>66</v>
      </c>
      <c r="J42" s="12" t="s">
        <v>207</v>
      </c>
      <c r="K42" s="12" t="s">
        <v>208</v>
      </c>
      <c r="L42" s="12"/>
      <c r="M42" s="12"/>
      <c r="N42" s="12" t="s">
        <v>224</v>
      </c>
    </row>
    <row r="43" spans="1:14" ht="17.649999999999999">
      <c r="A43" s="13">
        <v>38</v>
      </c>
      <c r="B43" s="13" t="s">
        <v>175</v>
      </c>
      <c r="C43" s="16" t="s">
        <v>180</v>
      </c>
      <c r="D43" s="13" t="s">
        <v>181</v>
      </c>
      <c r="E43" t="s">
        <v>189</v>
      </c>
      <c r="F43" s="12" t="s">
        <v>198</v>
      </c>
      <c r="G43" s="11" t="s">
        <v>64</v>
      </c>
      <c r="H43" s="11" t="s">
        <v>206</v>
      </c>
      <c r="I43" s="11" t="s">
        <v>66</v>
      </c>
      <c r="J43" s="12" t="s">
        <v>207</v>
      </c>
      <c r="K43" s="12" t="s">
        <v>208</v>
      </c>
      <c r="L43" s="12"/>
      <c r="M43" s="12"/>
      <c r="N43" s="12" t="s">
        <v>224</v>
      </c>
    </row>
    <row r="44" spans="1:14" ht="17.649999999999999">
      <c r="A44" s="13">
        <v>39</v>
      </c>
      <c r="B44" s="13" t="s">
        <v>60</v>
      </c>
      <c r="C44" s="16" t="s">
        <v>182</v>
      </c>
      <c r="D44" s="13" t="s">
        <v>184</v>
      </c>
      <c r="E44" t="s">
        <v>190</v>
      </c>
      <c r="F44" s="12" t="s">
        <v>199</v>
      </c>
      <c r="G44" s="11" t="s">
        <v>64</v>
      </c>
      <c r="H44" s="11" t="s">
        <v>206</v>
      </c>
      <c r="I44" s="11" t="s">
        <v>66</v>
      </c>
      <c r="J44" s="12" t="s">
        <v>207</v>
      </c>
      <c r="K44" s="12" t="s">
        <v>208</v>
      </c>
      <c r="L44" s="12"/>
      <c r="M44" s="12"/>
      <c r="N44" s="12" t="s">
        <v>224</v>
      </c>
    </row>
    <row r="45" spans="1:14" ht="17.649999999999999">
      <c r="A45" s="13">
        <v>40</v>
      </c>
      <c r="B45" s="13" t="s">
        <v>106</v>
      </c>
      <c r="C45" s="16" t="s">
        <v>185</v>
      </c>
      <c r="D45" s="13" t="s">
        <v>183</v>
      </c>
      <c r="E45" t="s">
        <v>191</v>
      </c>
      <c r="F45" s="12" t="s">
        <v>200</v>
      </c>
      <c r="G45" s="11" t="s">
        <v>64</v>
      </c>
      <c r="H45" s="11" t="s">
        <v>206</v>
      </c>
      <c r="I45" s="11" t="s">
        <v>66</v>
      </c>
      <c r="J45" s="12" t="s">
        <v>207</v>
      </c>
      <c r="K45" s="12" t="s">
        <v>208</v>
      </c>
      <c r="L45" s="12"/>
      <c r="M45" s="12"/>
      <c r="N45" t="s">
        <v>235</v>
      </c>
    </row>
    <row r="46" spans="1:14" ht="17.649999999999999">
      <c r="A46" s="13">
        <v>41</v>
      </c>
      <c r="B46" s="13" t="s">
        <v>125</v>
      </c>
      <c r="C46" s="16" t="s">
        <v>185</v>
      </c>
      <c r="D46" s="13" t="s">
        <v>183</v>
      </c>
      <c r="E46" s="14" t="s">
        <v>192</v>
      </c>
      <c r="F46" s="12" t="s">
        <v>201</v>
      </c>
      <c r="G46" s="11" t="s">
        <v>64</v>
      </c>
      <c r="H46" s="11" t="s">
        <v>206</v>
      </c>
      <c r="I46" s="11" t="s">
        <v>66</v>
      </c>
      <c r="J46" s="12" t="s">
        <v>207</v>
      </c>
      <c r="K46" s="12" t="s">
        <v>208</v>
      </c>
      <c r="L46" s="12"/>
      <c r="M46" s="12"/>
      <c r="N46" t="s">
        <v>237</v>
      </c>
    </row>
    <row r="47" spans="1:14" ht="17.649999999999999">
      <c r="A47" s="13">
        <v>42</v>
      </c>
      <c r="B47" s="13" t="s">
        <v>136</v>
      </c>
      <c r="C47" s="16" t="s">
        <v>185</v>
      </c>
      <c r="D47" s="13" t="s">
        <v>183</v>
      </c>
      <c r="E47" s="14" t="s">
        <v>193</v>
      </c>
      <c r="F47" s="12" t="s">
        <v>202</v>
      </c>
      <c r="G47" s="11" t="s">
        <v>64</v>
      </c>
      <c r="H47" s="11" t="s">
        <v>206</v>
      </c>
      <c r="I47" s="11" t="s">
        <v>66</v>
      </c>
      <c r="J47" s="12" t="s">
        <v>207</v>
      </c>
      <c r="K47" s="12" t="s">
        <v>208</v>
      </c>
      <c r="L47" s="12"/>
      <c r="M47" s="12"/>
      <c r="N47" s="12" t="s">
        <v>224</v>
      </c>
    </row>
    <row r="48" spans="1:14">
      <c r="A48" s="13">
        <v>43</v>
      </c>
      <c r="B48" s="13" t="s">
        <v>60</v>
      </c>
      <c r="C48" s="16" t="s">
        <v>182</v>
      </c>
      <c r="D48" s="13" t="s">
        <v>183</v>
      </c>
      <c r="E48" s="9" t="s">
        <v>194</v>
      </c>
      <c r="F48" s="12" t="s">
        <v>203</v>
      </c>
      <c r="G48" s="11" t="s">
        <v>64</v>
      </c>
      <c r="H48" s="11" t="s">
        <v>206</v>
      </c>
      <c r="I48" s="11" t="s">
        <v>66</v>
      </c>
      <c r="J48" s="12" t="s">
        <v>207</v>
      </c>
      <c r="K48" s="12" t="s">
        <v>208</v>
      </c>
      <c r="L48" s="12"/>
      <c r="M48" s="12"/>
      <c r="N48" s="12" t="s">
        <v>224</v>
      </c>
    </row>
    <row r="49" spans="1:14">
      <c r="A49" s="13">
        <v>44</v>
      </c>
      <c r="B49" s="13" t="s">
        <v>176</v>
      </c>
      <c r="C49" s="16" t="s">
        <v>186</v>
      </c>
      <c r="D49" s="13" t="s">
        <v>183</v>
      </c>
      <c r="E49" s="9" t="s">
        <v>195</v>
      </c>
      <c r="F49" s="12" t="s">
        <v>204</v>
      </c>
      <c r="G49" s="11" t="s">
        <v>205</v>
      </c>
      <c r="H49" s="11" t="s">
        <v>206</v>
      </c>
      <c r="I49" s="11" t="s">
        <v>66</v>
      </c>
      <c r="J49" s="12" t="s">
        <v>207</v>
      </c>
      <c r="K49" s="12" t="s">
        <v>208</v>
      </c>
      <c r="L49" s="12"/>
      <c r="M49" s="12"/>
      <c r="N49" s="12" t="s">
        <v>224</v>
      </c>
    </row>
    <row r="50" spans="1:14" ht="33">
      <c r="A50" s="13">
        <v>45</v>
      </c>
      <c r="B50" s="13" t="s">
        <v>60</v>
      </c>
      <c r="C50" s="16" t="s">
        <v>209</v>
      </c>
      <c r="D50" s="13" t="s">
        <v>61</v>
      </c>
      <c r="E50" s="14" t="s">
        <v>210</v>
      </c>
      <c r="F50" s="12" t="s">
        <v>213</v>
      </c>
      <c r="G50" s="11" t="s">
        <v>64</v>
      </c>
      <c r="H50" s="11" t="s">
        <v>206</v>
      </c>
      <c r="I50" s="11" t="s">
        <v>66</v>
      </c>
      <c r="J50" s="12" t="s">
        <v>216</v>
      </c>
      <c r="K50" s="14" t="s">
        <v>217</v>
      </c>
      <c r="L50" s="12"/>
      <c r="M50" s="12"/>
      <c r="N50" s="12" t="s">
        <v>224</v>
      </c>
    </row>
    <row r="51" spans="1:14" ht="33">
      <c r="A51" s="13">
        <v>46</v>
      </c>
      <c r="B51" s="13" t="s">
        <v>60</v>
      </c>
      <c r="C51" s="16" t="s">
        <v>209</v>
      </c>
      <c r="D51" s="13" t="s">
        <v>61</v>
      </c>
      <c r="E51" s="14" t="s">
        <v>211</v>
      </c>
      <c r="F51" s="12" t="s">
        <v>214</v>
      </c>
      <c r="G51" s="11" t="s">
        <v>64</v>
      </c>
      <c r="H51" s="11" t="s">
        <v>206</v>
      </c>
      <c r="I51" s="11" t="s">
        <v>66</v>
      </c>
      <c r="J51" s="12" t="s">
        <v>173</v>
      </c>
      <c r="K51" s="14" t="s">
        <v>217</v>
      </c>
      <c r="L51" s="12"/>
      <c r="M51" s="12"/>
      <c r="N51" s="12" t="s">
        <v>224</v>
      </c>
    </row>
    <row r="52" spans="1:14" ht="33">
      <c r="A52" s="13">
        <v>47</v>
      </c>
      <c r="B52" s="13" t="s">
        <v>60</v>
      </c>
      <c r="C52" s="16" t="s">
        <v>160</v>
      </c>
      <c r="D52" s="13" t="s">
        <v>61</v>
      </c>
      <c r="E52" s="9" t="s">
        <v>212</v>
      </c>
      <c r="F52" s="12" t="s">
        <v>215</v>
      </c>
      <c r="G52" s="11" t="s">
        <v>64</v>
      </c>
      <c r="H52" s="11" t="s">
        <v>206</v>
      </c>
      <c r="I52" s="11" t="s">
        <v>72</v>
      </c>
      <c r="J52" s="12" t="s">
        <v>207</v>
      </c>
      <c r="K52" s="12" t="s">
        <v>218</v>
      </c>
      <c r="L52" s="12"/>
      <c r="M52" s="12"/>
      <c r="N52" s="12" t="s">
        <v>224</v>
      </c>
    </row>
    <row r="53" spans="1:14" ht="35.25">
      <c r="A53" s="13">
        <v>48</v>
      </c>
      <c r="B53" s="13" t="s">
        <v>175</v>
      </c>
      <c r="C53" s="16" t="s">
        <v>244</v>
      </c>
      <c r="D53" s="13" t="s">
        <v>61</v>
      </c>
      <c r="E53" s="9" t="s">
        <v>245</v>
      </c>
      <c r="F53" s="12" t="s">
        <v>246</v>
      </c>
      <c r="G53" s="11" t="s">
        <v>64</v>
      </c>
      <c r="H53" s="11" t="s">
        <v>206</v>
      </c>
      <c r="I53" s="11" t="s">
        <v>247</v>
      </c>
      <c r="J53" s="12" t="s">
        <v>248</v>
      </c>
      <c r="K53" s="14" t="s">
        <v>249</v>
      </c>
      <c r="L53" s="12"/>
      <c r="M53" s="12"/>
      <c r="N53" t="s">
        <v>250</v>
      </c>
    </row>
    <row r="54" spans="1:14" ht="35.25">
      <c r="A54" s="13">
        <v>49</v>
      </c>
      <c r="B54" s="13" t="s">
        <v>252</v>
      </c>
      <c r="C54" t="s">
        <v>253</v>
      </c>
      <c r="D54" s="13" t="s">
        <v>254</v>
      </c>
      <c r="E54" t="s">
        <v>255</v>
      </c>
      <c r="F54" t="s">
        <v>256</v>
      </c>
      <c r="G54" s="11" t="s">
        <v>64</v>
      </c>
      <c r="H54" s="11" t="s">
        <v>206</v>
      </c>
      <c r="I54" s="11" t="s">
        <v>257</v>
      </c>
      <c r="J54" t="s">
        <v>258</v>
      </c>
      <c r="K54" s="14" t="s">
        <v>259</v>
      </c>
      <c r="L54" s="12"/>
      <c r="M54" s="12"/>
      <c r="N54" s="14" t="s">
        <v>260</v>
      </c>
    </row>
    <row r="55" spans="1:14" ht="35.25">
      <c r="A55" s="13">
        <v>50</v>
      </c>
      <c r="B55" s="13" t="s">
        <v>251</v>
      </c>
      <c r="C55" t="s">
        <v>253</v>
      </c>
      <c r="D55" s="13" t="s">
        <v>254</v>
      </c>
      <c r="E55" t="s">
        <v>261</v>
      </c>
      <c r="F55" t="s">
        <v>262</v>
      </c>
      <c r="G55" s="11" t="s">
        <v>64</v>
      </c>
      <c r="H55" s="11" t="s">
        <v>206</v>
      </c>
      <c r="I55" s="11" t="s">
        <v>72</v>
      </c>
      <c r="J55" t="s">
        <v>258</v>
      </c>
      <c r="K55" s="14" t="s">
        <v>263</v>
      </c>
      <c r="L55" s="12"/>
      <c r="M55" s="12"/>
      <c r="N55" s="14" t="s">
        <v>260</v>
      </c>
    </row>
    <row r="56" spans="1:14" ht="52.9">
      <c r="A56" s="13">
        <v>51</v>
      </c>
      <c r="B56" s="13" t="s">
        <v>251</v>
      </c>
      <c r="C56" t="s">
        <v>253</v>
      </c>
      <c r="D56" s="13" t="s">
        <v>61</v>
      </c>
      <c r="E56" t="s">
        <v>264</v>
      </c>
      <c r="F56" t="s">
        <v>265</v>
      </c>
      <c r="G56" s="11" t="s">
        <v>64</v>
      </c>
      <c r="H56" s="11" t="s">
        <v>206</v>
      </c>
      <c r="I56" s="11" t="s">
        <v>72</v>
      </c>
      <c r="J56" s="12" t="s">
        <v>266</v>
      </c>
      <c r="K56" s="14" t="s">
        <v>267</v>
      </c>
      <c r="L56" s="12"/>
      <c r="M56" s="12"/>
      <c r="N56" t="s">
        <v>268</v>
      </c>
    </row>
    <row r="57" spans="1:14" ht="33">
      <c r="A57" s="13">
        <v>52</v>
      </c>
      <c r="B57" s="13" t="s">
        <v>60</v>
      </c>
      <c r="C57" s="16" t="s">
        <v>269</v>
      </c>
      <c r="D57" s="13" t="s">
        <v>254</v>
      </c>
      <c r="E57" t="s">
        <v>270</v>
      </c>
      <c r="F57" t="s">
        <v>271</v>
      </c>
      <c r="G57" s="11" t="s">
        <v>64</v>
      </c>
      <c r="H57" s="11" t="s">
        <v>206</v>
      </c>
      <c r="I57" s="11" t="s">
        <v>66</v>
      </c>
      <c r="J57" s="12" t="s">
        <v>161</v>
      </c>
      <c r="K57" s="12" t="s">
        <v>272</v>
      </c>
      <c r="L57" s="12"/>
      <c r="M57" s="12"/>
      <c r="N57" s="12" t="s">
        <v>273</v>
      </c>
    </row>
    <row r="58" spans="1:14" ht="33">
      <c r="A58" s="13">
        <v>53</v>
      </c>
      <c r="B58" s="13" t="s">
        <v>125</v>
      </c>
      <c r="C58" s="16" t="s">
        <v>277</v>
      </c>
      <c r="D58" s="13" t="s">
        <v>278</v>
      </c>
      <c r="E58" t="s">
        <v>279</v>
      </c>
      <c r="F58" s="12" t="s">
        <v>280</v>
      </c>
      <c r="G58" s="11" t="s">
        <v>64</v>
      </c>
      <c r="H58" s="11" t="s">
        <v>65</v>
      </c>
      <c r="I58" s="11" t="s">
        <v>66</v>
      </c>
      <c r="J58" s="12" t="s">
        <v>161</v>
      </c>
      <c r="K58" s="12"/>
      <c r="L58" s="12"/>
      <c r="M58" s="12"/>
      <c r="N58" s="12" t="s">
        <v>281</v>
      </c>
    </row>
    <row r="59" spans="1:14" ht="33">
      <c r="A59" s="13">
        <v>54</v>
      </c>
      <c r="B59" s="13" t="s">
        <v>125</v>
      </c>
      <c r="C59" s="16" t="s">
        <v>277</v>
      </c>
      <c r="D59" s="13" t="s">
        <v>278</v>
      </c>
      <c r="E59" t="s">
        <v>282</v>
      </c>
      <c r="F59" s="12" t="s">
        <v>283</v>
      </c>
      <c r="G59" s="11" t="s">
        <v>64</v>
      </c>
      <c r="H59" s="11" t="s">
        <v>65</v>
      </c>
      <c r="I59" s="11" t="s">
        <v>66</v>
      </c>
      <c r="J59" s="12" t="s">
        <v>161</v>
      </c>
      <c r="K59" s="12"/>
      <c r="L59" s="12"/>
      <c r="M59" s="12"/>
      <c r="N59" s="12" t="s">
        <v>281</v>
      </c>
    </row>
    <row r="60" spans="1:14">
      <c r="A60" s="10"/>
      <c r="B60" s="10"/>
      <c r="C60" s="10"/>
      <c r="D60" s="10"/>
      <c r="E60" s="9"/>
      <c r="F60" s="9"/>
      <c r="J60" s="9"/>
      <c r="K60" s="9"/>
      <c r="L60" s="9"/>
      <c r="M60" s="9"/>
      <c r="N60" s="9"/>
    </row>
    <row r="61" spans="1:14">
      <c r="A61" s="10"/>
      <c r="B61" s="10"/>
      <c r="C61" s="10"/>
      <c r="D61" s="10"/>
      <c r="E61" s="9"/>
      <c r="F61" s="9"/>
      <c r="J61" s="9"/>
      <c r="K61" s="9"/>
      <c r="L61" s="9"/>
      <c r="M61" s="9"/>
      <c r="N61" s="9"/>
    </row>
    <row r="62" spans="1:14">
      <c r="A62" s="10"/>
      <c r="B62" s="10"/>
      <c r="C62" s="10"/>
      <c r="D62" s="10"/>
      <c r="E62" s="9"/>
      <c r="F62" s="9"/>
      <c r="J62" s="9"/>
      <c r="K62" s="9"/>
      <c r="L62" s="9"/>
      <c r="M62" s="9"/>
      <c r="N62" s="9"/>
    </row>
    <row r="63" spans="1:14">
      <c r="A63" s="10"/>
      <c r="B63" s="10"/>
      <c r="C63" s="10"/>
      <c r="D63" s="10"/>
      <c r="E63" s="9"/>
      <c r="F63" s="9"/>
      <c r="J63" s="9"/>
      <c r="K63" s="9"/>
      <c r="L63" s="9"/>
      <c r="M63" s="9"/>
      <c r="N63" s="9"/>
    </row>
    <row r="64" spans="1:14">
      <c r="A64" s="10"/>
      <c r="B64" s="10"/>
      <c r="C64" s="10"/>
      <c r="D64" s="10"/>
      <c r="E64" s="9"/>
      <c r="F64" s="9"/>
      <c r="J64" s="9"/>
      <c r="K64" s="9"/>
      <c r="L64" s="9"/>
      <c r="M64" s="9"/>
      <c r="N64" s="9"/>
    </row>
    <row r="65" spans="1:14">
      <c r="A65" s="10"/>
      <c r="B65" s="10"/>
      <c r="C65" s="10"/>
      <c r="D65" s="10"/>
      <c r="E65" s="9"/>
      <c r="F65" s="9"/>
      <c r="J65" s="9"/>
      <c r="K65" s="9"/>
      <c r="L65" s="9"/>
      <c r="M65" s="9"/>
      <c r="N65" s="9"/>
    </row>
    <row r="66" spans="1:14">
      <c r="A66" s="10"/>
      <c r="B66" s="10"/>
      <c r="C66" s="10"/>
      <c r="D66" s="10"/>
      <c r="E66" s="9"/>
      <c r="F66" s="9"/>
      <c r="J66" s="9"/>
      <c r="K66" s="9"/>
      <c r="L66" s="9"/>
      <c r="M66" s="9"/>
      <c r="N66" s="9"/>
    </row>
    <row r="67" spans="1:14">
      <c r="A67" s="10"/>
      <c r="B67" s="10"/>
      <c r="C67" s="10"/>
      <c r="D67" s="10"/>
      <c r="E67" s="9"/>
      <c r="F67" s="9"/>
      <c r="J67" s="9"/>
      <c r="K67" s="9"/>
      <c r="L67" s="9"/>
      <c r="M67" s="9"/>
      <c r="N67" s="9"/>
    </row>
    <row r="68" spans="1:14">
      <c r="A68" s="10"/>
      <c r="B68" s="10"/>
      <c r="C68" s="10"/>
      <c r="D68" s="10"/>
      <c r="E68" s="9"/>
      <c r="F68" s="9"/>
      <c r="J68" s="9"/>
      <c r="K68" s="9"/>
      <c r="L68" s="9"/>
      <c r="M68" s="9"/>
      <c r="N68" s="9"/>
    </row>
    <row r="69" spans="1:14">
      <c r="A69" s="10"/>
      <c r="B69" s="10"/>
      <c r="C69" s="10"/>
      <c r="D69" s="10"/>
      <c r="E69" s="9"/>
      <c r="F69" s="9"/>
      <c r="J69" s="9"/>
      <c r="K69" s="9"/>
      <c r="L69" s="9"/>
      <c r="M69" s="9"/>
      <c r="N69" s="9"/>
    </row>
    <row r="70" spans="1:14">
      <c r="A70" s="10"/>
      <c r="B70" s="10"/>
      <c r="C70" s="10"/>
      <c r="D70" s="10"/>
      <c r="E70" s="9"/>
      <c r="F70" s="9"/>
      <c r="J70" s="9"/>
      <c r="K70" s="9"/>
      <c r="L70" s="9"/>
      <c r="M70" s="9"/>
      <c r="N70" s="9"/>
    </row>
    <row r="71" spans="1:14">
      <c r="A71" s="10"/>
      <c r="B71" s="10"/>
      <c r="C71" s="10"/>
      <c r="D71" s="10"/>
      <c r="E71" s="9"/>
      <c r="F71" s="9"/>
      <c r="J71" s="9"/>
      <c r="K71" s="9"/>
      <c r="L71" s="9"/>
      <c r="M71" s="9"/>
      <c r="N71" s="9"/>
    </row>
    <row r="72" spans="1:14">
      <c r="A72" s="10"/>
      <c r="B72" s="10"/>
      <c r="C72" s="10"/>
      <c r="D72" s="10"/>
      <c r="E72" s="9"/>
      <c r="F72" s="9"/>
      <c r="J72" s="9"/>
      <c r="K72" s="9"/>
      <c r="L72" s="9"/>
      <c r="M72" s="9"/>
      <c r="N72" s="9"/>
    </row>
    <row r="73" spans="1:14">
      <c r="A73" s="10"/>
      <c r="B73" s="10"/>
      <c r="C73" s="10"/>
      <c r="D73" s="10"/>
      <c r="E73" s="9"/>
      <c r="F73" s="9"/>
      <c r="J73" s="9"/>
      <c r="K73" s="9"/>
      <c r="L73" s="9"/>
      <c r="M73" s="9"/>
      <c r="N73" s="9"/>
    </row>
    <row r="74" spans="1:14">
      <c r="A74" s="10"/>
      <c r="B74" s="10"/>
      <c r="C74" s="10"/>
      <c r="D74" s="10"/>
      <c r="E74" s="9"/>
      <c r="F74" s="9"/>
      <c r="J74" s="9"/>
      <c r="K74" s="9"/>
      <c r="L74" s="9"/>
      <c r="M74" s="9"/>
      <c r="N74" s="9"/>
    </row>
    <row r="75" spans="1:14">
      <c r="A75" s="10"/>
      <c r="B75" s="10"/>
      <c r="C75" s="10"/>
      <c r="D75" s="10"/>
      <c r="E75" s="9"/>
      <c r="F75" s="9"/>
      <c r="J75" s="9"/>
      <c r="K75" s="9"/>
      <c r="L75" s="9"/>
      <c r="M75" s="9"/>
      <c r="N75" s="9"/>
    </row>
    <row r="76" spans="1:14">
      <c r="A76" s="10"/>
      <c r="B76" s="10"/>
      <c r="C76" s="10"/>
      <c r="D76" s="10"/>
      <c r="E76" s="9"/>
      <c r="F76" s="9"/>
      <c r="J76" s="9"/>
      <c r="K76" s="9"/>
      <c r="L76" s="9"/>
      <c r="M76" s="9"/>
      <c r="N76" s="9"/>
    </row>
    <row r="77" spans="1:14">
      <c r="A77" s="10"/>
      <c r="B77" s="10"/>
      <c r="C77" s="10"/>
      <c r="D77" s="10"/>
      <c r="E77" s="9"/>
      <c r="F77" s="9"/>
      <c r="J77" s="9"/>
      <c r="K77" s="9"/>
      <c r="L77" s="9"/>
      <c r="M77" s="9"/>
      <c r="N77" s="9"/>
    </row>
    <row r="78" spans="1:14">
      <c r="A78" s="10"/>
      <c r="B78" s="10"/>
      <c r="C78" s="10"/>
      <c r="D78" s="10"/>
      <c r="E78" s="9"/>
      <c r="F78" s="9"/>
      <c r="J78" s="9"/>
      <c r="K78" s="9"/>
      <c r="L78" s="9"/>
      <c r="M78" s="9"/>
      <c r="N78" s="9"/>
    </row>
    <row r="79" spans="1:14">
      <c r="A79" s="10"/>
      <c r="B79" s="10"/>
      <c r="C79" s="10"/>
      <c r="D79" s="10"/>
      <c r="E79" s="9"/>
      <c r="F79" s="9"/>
      <c r="J79" s="9"/>
      <c r="K79" s="9"/>
      <c r="L79" s="9"/>
      <c r="M79" s="9"/>
      <c r="N79" s="9"/>
    </row>
    <row r="80" spans="1:14">
      <c r="A80" s="10"/>
      <c r="B80" s="10"/>
      <c r="C80" s="10"/>
      <c r="D80" s="10"/>
      <c r="E80" s="9"/>
      <c r="F80" s="9"/>
      <c r="J80" s="9"/>
      <c r="K80" s="9"/>
      <c r="L80" s="9"/>
      <c r="M80" s="9"/>
      <c r="N80" s="9"/>
    </row>
    <row r="81" spans="1:14">
      <c r="A81" s="10"/>
      <c r="B81" s="10"/>
      <c r="C81" s="10"/>
      <c r="D81" s="10"/>
      <c r="E81" s="9"/>
      <c r="F81" s="9"/>
      <c r="J81" s="9"/>
      <c r="K81" s="9"/>
      <c r="L81" s="9"/>
      <c r="M81" s="9"/>
      <c r="N81" s="9"/>
    </row>
    <row r="82" spans="1:14">
      <c r="A82" s="10"/>
      <c r="B82" s="10"/>
      <c r="C82" s="10"/>
      <c r="D82" s="10"/>
      <c r="E82" s="9"/>
      <c r="F82" s="9"/>
      <c r="J82" s="9"/>
      <c r="K82" s="9"/>
      <c r="L82" s="9"/>
      <c r="M82" s="9"/>
      <c r="N82" s="9"/>
    </row>
    <row r="83" spans="1:14">
      <c r="A83" s="10"/>
      <c r="B83" s="10"/>
      <c r="C83" s="10"/>
      <c r="D83" s="10"/>
      <c r="E83" s="9"/>
      <c r="F83" s="9"/>
      <c r="J83" s="9"/>
      <c r="K83" s="9"/>
      <c r="L83" s="9"/>
      <c r="M83" s="9"/>
      <c r="N83" s="9"/>
    </row>
    <row r="84" spans="1:14">
      <c r="A84" s="10"/>
      <c r="B84" s="10"/>
      <c r="C84" s="10"/>
      <c r="D84" s="10"/>
      <c r="E84" s="9"/>
      <c r="F84" s="9"/>
      <c r="J84" s="9"/>
      <c r="K84" s="9"/>
      <c r="L84" s="9"/>
      <c r="M84" s="9"/>
      <c r="N84" s="9"/>
    </row>
    <row r="85" spans="1:14">
      <c r="A85" s="10"/>
      <c r="B85" s="10"/>
      <c r="C85" s="10"/>
      <c r="D85" s="10"/>
      <c r="E85" s="9"/>
      <c r="F85" s="9"/>
      <c r="J85" s="9"/>
      <c r="K85" s="9"/>
      <c r="L85" s="9"/>
      <c r="M85" s="9"/>
      <c r="N85" s="9"/>
    </row>
    <row r="86" spans="1:14">
      <c r="A86" s="10"/>
      <c r="B86" s="10"/>
      <c r="C86" s="10"/>
      <c r="D86" s="10"/>
      <c r="E86" s="9"/>
      <c r="F86" s="9"/>
      <c r="J86" s="9"/>
      <c r="K86" s="9"/>
      <c r="L86" s="9"/>
      <c r="M86" s="9"/>
      <c r="N86" s="9"/>
    </row>
    <row r="87" spans="1:14">
      <c r="A87" s="10"/>
      <c r="B87" s="10"/>
      <c r="C87" s="10"/>
      <c r="D87" s="10"/>
      <c r="E87" s="9"/>
      <c r="F87" s="9"/>
      <c r="J87" s="9"/>
      <c r="K87" s="9"/>
      <c r="L87" s="9"/>
      <c r="M87" s="9"/>
      <c r="N87" s="9"/>
    </row>
    <row r="88" spans="1:14">
      <c r="A88" s="10"/>
      <c r="B88" s="10"/>
      <c r="C88" s="10"/>
      <c r="D88" s="10"/>
      <c r="E88" s="9"/>
      <c r="F88" s="9"/>
      <c r="J88" s="9"/>
      <c r="K88" s="9"/>
      <c r="L88" s="9"/>
      <c r="M88" s="9"/>
      <c r="N88" s="9"/>
    </row>
    <row r="89" spans="1:14">
      <c r="A89" s="10"/>
      <c r="B89" s="10"/>
      <c r="C89" s="10"/>
      <c r="D89" s="10"/>
      <c r="E89" s="9"/>
      <c r="F89" s="9"/>
      <c r="J89" s="9"/>
      <c r="K89" s="9"/>
      <c r="L89" s="9"/>
      <c r="M89" s="9"/>
      <c r="N89" s="9"/>
    </row>
    <row r="90" spans="1:14">
      <c r="A90" s="10"/>
      <c r="B90" s="10"/>
      <c r="C90" s="10"/>
      <c r="D90" s="10"/>
      <c r="E90" s="9"/>
      <c r="F90" s="9"/>
      <c r="J90" s="9"/>
      <c r="K90" s="9"/>
      <c r="L90" s="9"/>
      <c r="M90" s="9"/>
      <c r="N90" s="9"/>
    </row>
    <row r="91" spans="1:14">
      <c r="A91" s="10"/>
      <c r="B91" s="10"/>
      <c r="C91" s="10"/>
      <c r="D91" s="10"/>
      <c r="E91" s="9"/>
      <c r="F91" s="9"/>
      <c r="J91" s="9"/>
      <c r="K91" s="9"/>
      <c r="L91" s="9"/>
      <c r="M91" s="9"/>
      <c r="N91" s="9"/>
    </row>
    <row r="92" spans="1:14">
      <c r="A92" s="10"/>
      <c r="B92" s="10"/>
      <c r="C92" s="10"/>
      <c r="D92" s="10"/>
      <c r="E92" s="9"/>
      <c r="F92" s="9"/>
      <c r="J92" s="9"/>
      <c r="K92" s="9"/>
      <c r="L92" s="9"/>
      <c r="M92" s="9"/>
      <c r="N92" s="9"/>
    </row>
    <row r="93" spans="1:14">
      <c r="A93" s="10"/>
      <c r="B93" s="10"/>
      <c r="C93" s="10"/>
      <c r="D93" s="10"/>
      <c r="E93" s="9"/>
      <c r="F93" s="9"/>
      <c r="J93" s="9"/>
      <c r="K93" s="9"/>
      <c r="L93" s="9"/>
      <c r="M93" s="9"/>
      <c r="N93" s="9"/>
    </row>
    <row r="94" spans="1:14">
      <c r="A94" s="10"/>
      <c r="B94" s="10"/>
      <c r="C94" s="10"/>
      <c r="D94" s="10"/>
      <c r="E94" s="9"/>
      <c r="F94" s="9"/>
      <c r="J94" s="9"/>
      <c r="K94" s="9"/>
      <c r="L94" s="9"/>
      <c r="M94" s="9"/>
      <c r="N94" s="9"/>
    </row>
    <row r="95" spans="1:14">
      <c r="A95" s="10"/>
      <c r="B95" s="10"/>
      <c r="C95" s="10"/>
      <c r="D95" s="10"/>
      <c r="E95" s="9"/>
      <c r="F95" s="9"/>
      <c r="J95" s="9"/>
      <c r="K95" s="9"/>
      <c r="L95" s="9"/>
      <c r="M95" s="9"/>
      <c r="N95" s="9"/>
    </row>
    <row r="96" spans="1:14">
      <c r="A96" s="10"/>
      <c r="B96" s="10"/>
      <c r="C96" s="10"/>
      <c r="D96" s="10"/>
      <c r="E96" s="9"/>
      <c r="F96" s="9"/>
      <c r="J96" s="9"/>
      <c r="K96" s="9"/>
      <c r="L96" s="9"/>
      <c r="M96" s="9"/>
      <c r="N96" s="9"/>
    </row>
    <row r="97" spans="1:14">
      <c r="A97" s="10"/>
      <c r="B97" s="10"/>
      <c r="C97" s="10"/>
      <c r="D97" s="10"/>
      <c r="E97" s="9"/>
      <c r="F97" s="9"/>
      <c r="J97" s="9"/>
      <c r="K97" s="9"/>
      <c r="L97" s="9"/>
      <c r="M97" s="9"/>
      <c r="N97" s="9"/>
    </row>
    <row r="98" spans="1:14">
      <c r="A98" s="10"/>
      <c r="B98" s="10"/>
      <c r="C98" s="10"/>
      <c r="D98" s="10"/>
      <c r="E98" s="9"/>
      <c r="F98" s="9"/>
      <c r="J98" s="9"/>
      <c r="K98" s="9"/>
      <c r="L98" s="9"/>
      <c r="M98" s="9"/>
      <c r="N98" s="9"/>
    </row>
    <row r="99" spans="1:14">
      <c r="A99" s="10"/>
      <c r="B99" s="10"/>
      <c r="C99" s="10"/>
      <c r="D99" s="10"/>
      <c r="E99" s="9"/>
      <c r="F99" s="9"/>
      <c r="J99" s="9"/>
      <c r="K99" s="9"/>
      <c r="L99" s="9"/>
      <c r="M99" s="9"/>
      <c r="N99" s="9"/>
    </row>
    <row r="100" spans="1:14">
      <c r="A100" s="10"/>
      <c r="B100" s="10"/>
      <c r="C100" s="10"/>
      <c r="D100" s="10"/>
      <c r="E100" s="9"/>
      <c r="F100" s="9"/>
      <c r="J100" s="9"/>
      <c r="K100" s="9"/>
      <c r="L100" s="9"/>
      <c r="M100" s="9"/>
      <c r="N100" s="9"/>
    </row>
    <row r="101" spans="1:14">
      <c r="A101" s="10"/>
      <c r="B101" s="10"/>
      <c r="C101" s="10"/>
      <c r="D101" s="10"/>
      <c r="E101" s="9"/>
      <c r="F101" s="9"/>
      <c r="J101" s="9"/>
      <c r="K101" s="9"/>
      <c r="L101" s="9"/>
      <c r="M101" s="9"/>
      <c r="N101" s="9"/>
    </row>
  </sheetData>
  <phoneticPr fontId="2"/>
  <conditionalFormatting sqref="G6:G101">
    <cfRule type="containsText" dxfId="5" priority="6" operator="containsText" text="準備中">
      <formula>NOT(ISERROR(SEARCH("準備中",G6)))</formula>
    </cfRule>
    <cfRule type="containsText" dxfId="4" priority="7" operator="containsText" text="準備済み">
      <formula>NOT(ISERROR(SEARCH("準備済み",G6)))</formula>
    </cfRule>
  </conditionalFormatting>
  <conditionalFormatting sqref="H6:H101">
    <cfRule type="containsText" dxfId="3" priority="4" operator="containsText" text="加工中">
      <formula>NOT(ISERROR(SEARCH("加工中",H6)))</formula>
    </cfRule>
    <cfRule type="containsText" dxfId="2" priority="5" operator="containsText" text="加工済み">
      <formula>NOT(ISERROR(SEARCH("加工済み",H6)))</formula>
    </cfRule>
  </conditionalFormatting>
  <conditionalFormatting sqref="I6:I101">
    <cfRule type="containsText" dxfId="1" priority="1" operator="containsText" text="掲載中">
      <formula>NOT(ISERROR(SEARCH("掲載中",I6)))</formula>
    </cfRule>
    <cfRule type="containsText" dxfId="0" priority="2" operator="containsText" text="掲載済み">
      <formula>NOT(ISERROR(SEARCH("掲載済み",I6)))</formula>
    </cfRule>
  </conditionalFormatting>
  <dataValidations count="5">
    <dataValidation type="list" allowBlank="1" showInputMessage="1" showErrorMessage="1" sqref="G6:G101" xr:uid="{C97B416E-42EA-4C43-8879-886D0E16C39E}">
      <formula1>"未準備,準備中,準備済み"</formula1>
    </dataValidation>
    <dataValidation type="list" allowBlank="1" showInputMessage="1" showErrorMessage="1" sqref="H6:H101" xr:uid="{B1168B16-EA6B-4E35-9BB7-614E9C9DBDDB}">
      <formula1>"未加工,加工中,加工済み"</formula1>
    </dataValidation>
    <dataValidation type="list" allowBlank="1" showInputMessage="1" showErrorMessage="1" sqref="I6:I101" xr:uid="{214A0AD2-3BF8-4CB6-85D7-9A38A7DD0E06}">
      <formula1>"未掲載,掲載中,掲載済み"</formula1>
    </dataValidation>
    <dataValidation type="list" allowBlank="1" showInputMessage="1" showErrorMessage="1" sqref="D5:D101" xr:uid="{9F55D74E-A330-41B4-82BE-F01ACDE7AA86}">
      <formula1>"画像,背景画像,アイコン,ロゴ,文章,その他"</formula1>
    </dataValidation>
    <dataValidation type="list" allowBlank="1" showInputMessage="1" showErrorMessage="1" sqref="B5:B101" xr:uid="{165322DC-60BB-4F4A-BEFE-530318FEE53F}">
      <formula1>"トップページ,モデルコース,佐賀の見どころ,グルメ,温泉,About,全ページ,学習用"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ABC0E-D500-4C24-9C29-D06EE6E73DAA}">
  <dimension ref="A1:E3"/>
  <sheetViews>
    <sheetView workbookViewId="0"/>
  </sheetViews>
  <sheetFormatPr defaultRowHeight="17.649999999999999"/>
  <cols>
    <col min="4" max="4" width="9.75" bestFit="1" customWidth="1"/>
  </cols>
  <sheetData>
    <row r="1" spans="1:5">
      <c r="A1" t="s">
        <v>225</v>
      </c>
      <c r="B1" t="s">
        <v>226</v>
      </c>
      <c r="C1" t="s">
        <v>227</v>
      </c>
      <c r="D1" t="s">
        <v>228</v>
      </c>
      <c r="E1" t="s">
        <v>229</v>
      </c>
    </row>
    <row r="2" spans="1:5">
      <c r="A2" t="s">
        <v>230</v>
      </c>
      <c r="B2" t="s">
        <v>67</v>
      </c>
      <c r="C2" s="17" t="s">
        <v>231</v>
      </c>
      <c r="D2" s="18">
        <v>46287</v>
      </c>
      <c r="E2" t="s">
        <v>232</v>
      </c>
    </row>
    <row r="3" spans="1:5">
      <c r="A3" t="s">
        <v>233</v>
      </c>
      <c r="B3" t="s">
        <v>173</v>
      </c>
      <c r="C3" s="17" t="s">
        <v>234</v>
      </c>
      <c r="D3" s="18">
        <v>46287</v>
      </c>
      <c r="E3" t="s">
        <v>232</v>
      </c>
    </row>
  </sheetData>
  <phoneticPr fontId="2"/>
  <hyperlinks>
    <hyperlink ref="C2" r:id="rId1" xr:uid="{DA211869-0C56-4EB4-B670-831A1174952D}"/>
    <hyperlink ref="C3" r:id="rId2" xr:uid="{9135028D-627B-4595-8851-F7DE379B9B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制作進捗</vt:lpstr>
      <vt:lpstr>素材管理</vt:lpstr>
      <vt:lpstr>ライセンス情報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努 杉原</dc:creator>
  <cp:lastModifiedBy>努 杉原</cp:lastModifiedBy>
  <dcterms:created xsi:type="dcterms:W3CDTF">2026-09-15T02:50:51Z</dcterms:created>
  <dcterms:modified xsi:type="dcterms:W3CDTF">2026-09-24T16:13:52Z</dcterms:modified>
</cp:coreProperties>
</file>